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peeketi/Documents/Conc/"/>
    </mc:Choice>
  </mc:AlternateContent>
  <xr:revisionPtr revIDLastSave="0" documentId="13_ncr:1_{97342554-0A59-1645-A6EE-3269D56EF962}" xr6:coauthVersionLast="47" xr6:coauthVersionMax="47" xr10:uidLastSave="{00000000-0000-0000-0000-000000000000}"/>
  <bookViews>
    <workbookView xWindow="3080" yWindow="2060" windowWidth="29860" windowHeight="17040" xr2:uid="{4A446AF7-097F-3A4E-958E-75B9EAFB57BF}"/>
  </bookViews>
  <sheets>
    <sheet name="E_i_data" sheetId="1" r:id="rId1"/>
    <sheet name="OER" sheetId="5" r:id="rId2"/>
    <sheet name="CER1500mM" sheetId="6" r:id="rId3"/>
    <sheet name="CER500mM" sheetId="7" r:id="rId4"/>
  </sheets>
  <definedNames>
    <definedName name="voltage_step_fits_results_CER_1500mM" localSheetId="2">CER1500mM!$A$1:$O$25</definedName>
    <definedName name="voltage_step_fits_results_CER_500mM" localSheetId="3">CER500mM!$A$1:$O$26</definedName>
    <definedName name="voltage_step_fits_results_OER" localSheetId="1">OER!$A$1:$O$25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4" i="1"/>
  <c r="S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4" i="1"/>
  <c r="M4" i="1" s="1"/>
  <c r="G11" i="1"/>
  <c r="G12" i="1"/>
  <c r="G13" i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F12" i="1"/>
  <c r="F13" i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4" i="1"/>
  <c r="G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6B5540-AF0E-D24B-97AD-2076F35D220D}" name="voltage_step_fits_results_CER_1500mM" type="6" refreshedVersion="8" background="1" saveData="1">
    <textPr codePage="10000" sourceFile="/Users/arpeeketi/Documents/Conc/voltage_step_fits_results_CER_1500mM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96556A53-DEED-A741-82D9-7AFFE9151AD6}" name="voltage_step_fits_results_CER_500mM" type="6" refreshedVersion="8" background="1" saveData="1">
    <textPr codePage="10000" sourceFile="/Users/arpeeketi/Documents/Conc/voltage_step_fits_results_CER_500mM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15CED5E9-9017-FF4A-8E55-2B10B93E60ED}" name="voltage_step_fits_results_OER" type="6" refreshedVersion="8" background="1" saveData="1">
    <textPr codePage="10000" sourceFile="/Users/arpeeketi/Documents/Conc/voltage_step_fits_results_OER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<sst xmlns="http://schemas.openxmlformats.org/spreadsheetml/2006/main" count="163" uniqueCount="33">
  <si>
    <t>E(Cathodic)</t>
  </si>
  <si>
    <t>V vs RHE</t>
  </si>
  <si>
    <t>E(Anodic) applied</t>
  </si>
  <si>
    <t>Current</t>
  </si>
  <si>
    <t>mA</t>
  </si>
  <si>
    <t>Current BG (at E(cathodic))</t>
  </si>
  <si>
    <t>iR correction</t>
  </si>
  <si>
    <t>V</t>
  </si>
  <si>
    <t>Resistance</t>
  </si>
  <si>
    <t>Ohm</t>
  </si>
  <si>
    <t>iR-corrected E</t>
  </si>
  <si>
    <t>OER1 (#05)</t>
  </si>
  <si>
    <t>CER_1500mM (#28)</t>
  </si>
  <si>
    <t>CER_500mM (#22)</t>
  </si>
  <si>
    <t>E(ref) offset</t>
  </si>
  <si>
    <t>charge</t>
  </si>
  <si>
    <t>mC</t>
  </si>
  <si>
    <t>step</t>
  </si>
  <si>
    <t>type</t>
  </si>
  <si>
    <t>V_initial</t>
  </si>
  <si>
    <t>V_final</t>
  </si>
  <si>
    <t>dV</t>
  </si>
  <si>
    <t>A</t>
  </si>
  <si>
    <t>A_err</t>
  </si>
  <si>
    <t>tau_ms</t>
  </si>
  <si>
    <t>tau_err_ms</t>
  </si>
  <si>
    <t>B</t>
  </si>
  <si>
    <t>B_err</t>
  </si>
  <si>
    <t>C</t>
  </si>
  <si>
    <t>C_err</t>
  </si>
  <si>
    <t>R2</t>
  </si>
  <si>
    <t>FALLING</t>
  </si>
  <si>
    <t>iRcorrected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</si>
</sst>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8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2" fillId="3" borderId="0" xfId="2"/>
    <xf numFmtId="164" fontId="2" fillId="3" borderId="0" xfId="2" applyNumberFormat="1"/>
    <xf numFmtId="0" fontId="2" fillId="3" borderId="0" xfId="2" applyAlignment="1">
      <alignment horizontal="center"/>
    </xf>
    <xf numFmtId="0" fontId="1" fillId="2" borderId="0" xfId="1" applyAlignment="1">
      <alignment horizontal="center"/>
    </xf>
    <xf numFmtId="11" fontId="0" fillId="0" borderId="0" xfId="0" applyNumberFormat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oltage_step_fits_results_OER" connectionId="3" xr16:uid="{84942920-150A-B349-B0AD-B5F081D675CD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oltage_step_fits_results_CER_1500mM" connectionId="1" xr16:uid="{8AB02C77-FAA5-9D46-B345-83C88B546FB6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oltage_step_fits_results_CER_500mM" connectionId="2" xr16:uid="{76922C06-FCE6-7940-95C1-45F34F03466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46B50-8D87-3745-9CDA-433D3B115AC2}">
  <dimension ref="A1:T30"/>
  <sheetViews>
    <sheetView tabSelected="1" topLeftCell="D1" workbookViewId="0">
      <selection activeCell="S6" sqref="S6:S30"/>
    </sheetView>
  </sheetViews>
  <sheetFormatPr baseColWidth="10" defaultRowHeight="16" x14ac:dyDescent="0.2"/>
  <cols>
    <col min="1" max="1" width="12.1640625" customWidth="1"/>
    <col min="2" max="2" width="16" customWidth="1"/>
    <col min="5" max="5" width="23.1640625" customWidth="1"/>
    <col min="7" max="8" width="12.1640625" customWidth="1"/>
    <col min="11" max="11" width="22.83203125" customWidth="1"/>
    <col min="13" max="14" width="12.5" customWidth="1"/>
    <col min="17" max="17" width="23.1640625" customWidth="1"/>
    <col min="19" max="20" width="12.5" customWidth="1"/>
  </cols>
  <sheetData>
    <row r="1" spans="1:20" x14ac:dyDescent="0.2">
      <c r="A1" s="1"/>
      <c r="B1" s="1"/>
      <c r="D1" s="6" t="s">
        <v>11</v>
      </c>
      <c r="E1" s="6"/>
      <c r="F1" s="6"/>
      <c r="G1" s="6"/>
      <c r="H1" s="6"/>
      <c r="J1" s="6" t="s">
        <v>12</v>
      </c>
      <c r="K1" s="6"/>
      <c r="L1" s="6"/>
      <c r="M1" s="6"/>
      <c r="N1" s="6"/>
      <c r="P1" s="6" t="s">
        <v>13</v>
      </c>
      <c r="Q1" s="6"/>
      <c r="R1" s="6"/>
      <c r="S1" s="6"/>
      <c r="T1" s="6"/>
    </row>
    <row r="2" spans="1:20" x14ac:dyDescent="0.2">
      <c r="A2" s="2" t="s">
        <v>0</v>
      </c>
      <c r="B2" s="2" t="s">
        <v>2</v>
      </c>
      <c r="D2" s="2" t="s">
        <v>3</v>
      </c>
      <c r="E2" s="2" t="s">
        <v>5</v>
      </c>
      <c r="F2" s="2" t="s">
        <v>6</v>
      </c>
      <c r="G2" s="2" t="s">
        <v>10</v>
      </c>
      <c r="H2" s="2" t="s">
        <v>15</v>
      </c>
      <c r="J2" s="2" t="s">
        <v>3</v>
      </c>
      <c r="K2" s="2" t="s">
        <v>5</v>
      </c>
      <c r="L2" s="2" t="s">
        <v>6</v>
      </c>
      <c r="M2" s="2" t="s">
        <v>10</v>
      </c>
      <c r="N2" s="2" t="s">
        <v>15</v>
      </c>
      <c r="P2" s="2" t="s">
        <v>3</v>
      </c>
      <c r="Q2" s="2" t="s">
        <v>5</v>
      </c>
      <c r="R2" s="2" t="s">
        <v>6</v>
      </c>
      <c r="S2" s="2" t="s">
        <v>10</v>
      </c>
      <c r="T2" s="2" t="s">
        <v>15</v>
      </c>
    </row>
    <row r="3" spans="1:20" x14ac:dyDescent="0.2">
      <c r="A3" s="5" t="s">
        <v>1</v>
      </c>
      <c r="B3" s="5" t="s">
        <v>1</v>
      </c>
      <c r="D3" s="5" t="s">
        <v>4</v>
      </c>
      <c r="E3" s="5" t="s">
        <v>4</v>
      </c>
      <c r="F3" s="5" t="s">
        <v>7</v>
      </c>
      <c r="G3" s="5" t="s">
        <v>1</v>
      </c>
      <c r="H3" s="5" t="s">
        <v>16</v>
      </c>
      <c r="J3" s="5" t="s">
        <v>4</v>
      </c>
      <c r="K3" s="5" t="s">
        <v>4</v>
      </c>
      <c r="L3" s="5" t="s">
        <v>7</v>
      </c>
      <c r="M3" s="5" t="s">
        <v>1</v>
      </c>
      <c r="N3" s="5" t="s">
        <v>16</v>
      </c>
      <c r="P3" s="5" t="s">
        <v>4</v>
      </c>
      <c r="Q3" s="5" t="s">
        <v>4</v>
      </c>
      <c r="R3" s="5" t="s">
        <v>7</v>
      </c>
      <c r="S3" s="5" t="s">
        <v>1</v>
      </c>
      <c r="T3" s="5" t="s">
        <v>16</v>
      </c>
    </row>
    <row r="4" spans="1:20" x14ac:dyDescent="0.2">
      <c r="A4" s="4">
        <v>1.3109999999999999</v>
      </c>
      <c r="B4" s="3">
        <v>1.321</v>
      </c>
      <c r="D4">
        <v>1.9E-2</v>
      </c>
      <c r="E4" s="3">
        <v>1.8800000000000001E-2</v>
      </c>
      <c r="F4">
        <f>+D4*$E$8/1000</f>
        <v>3.2299999999999999E-4</v>
      </c>
      <c r="G4">
        <f>+B4-F4</f>
        <v>1.3206769999999999</v>
      </c>
      <c r="H4">
        <v>1.8200000000000001E-2</v>
      </c>
      <c r="J4">
        <v>1.21E-2</v>
      </c>
      <c r="K4" s="3">
        <v>1.01E-2</v>
      </c>
      <c r="L4">
        <f>+J4*$K$8/1000</f>
        <v>1.2705E-4</v>
      </c>
      <c r="M4">
        <f>+B4-L4</f>
        <v>1.32087295</v>
      </c>
      <c r="N4">
        <v>1.6399999999999998E-2</v>
      </c>
      <c r="P4">
        <v>-1.107E-2</v>
      </c>
      <c r="Q4" s="3">
        <v>-1.17E-2</v>
      </c>
      <c r="R4">
        <f>+P4*$Q$8/1000</f>
        <v>-1.3062600000000003E-4</v>
      </c>
      <c r="S4">
        <f>+B4-R4</f>
        <v>1.321130626</v>
      </c>
      <c r="T4">
        <v>1.7400000000000002E-2</v>
      </c>
    </row>
    <row r="5" spans="1:20" x14ac:dyDescent="0.2">
      <c r="B5" s="3">
        <v>1.341</v>
      </c>
      <c r="D5">
        <v>1.9980000000000001E-2</v>
      </c>
      <c r="F5">
        <f t="shared" ref="F5:F30" si="0">+D5*$E$8/1000</f>
        <v>3.3966000000000004E-4</v>
      </c>
      <c r="G5">
        <f t="shared" ref="G5:G30" si="1">+B5-F5</f>
        <v>1.3406603399999999</v>
      </c>
      <c r="H5">
        <v>5.3269999999999998E-2</v>
      </c>
      <c r="J5">
        <v>1.7899999999999999E-2</v>
      </c>
      <c r="L5">
        <f t="shared" ref="L5:L30" si="2">+J5*$K$8/1000</f>
        <v>1.8795000000000001E-4</v>
      </c>
      <c r="M5">
        <f t="shared" ref="M5:M30" si="3">+B5-L5</f>
        <v>1.34081205</v>
      </c>
      <c r="N5">
        <v>5.4499999999999993E-2</v>
      </c>
      <c r="P5">
        <v>-1.0500000000000001E-2</v>
      </c>
      <c r="R5">
        <f t="shared" ref="R5:R30" si="4">+P5*$Q$8/1000</f>
        <v>-1.239E-4</v>
      </c>
      <c r="S5">
        <f t="shared" ref="S5:S30" si="5">+B5-R5</f>
        <v>1.3411238999999999</v>
      </c>
      <c r="T5">
        <v>5.3099999999999994E-2</v>
      </c>
    </row>
    <row r="6" spans="1:20" x14ac:dyDescent="0.2">
      <c r="A6" s="2" t="s">
        <v>14</v>
      </c>
      <c r="B6" s="3">
        <v>1.361</v>
      </c>
      <c r="D6">
        <v>1.9199999999999998E-2</v>
      </c>
      <c r="E6" s="2" t="s">
        <v>8</v>
      </c>
      <c r="F6">
        <f t="shared" si="0"/>
        <v>3.2639999999999996E-4</v>
      </c>
      <c r="G6">
        <f t="shared" si="1"/>
        <v>1.3606735999999999</v>
      </c>
      <c r="H6">
        <v>9.0450000000000003E-2</v>
      </c>
      <c r="J6">
        <v>0.04</v>
      </c>
      <c r="K6" s="2" t="s">
        <v>8</v>
      </c>
      <c r="L6">
        <f t="shared" si="2"/>
        <v>4.1999999999999996E-4</v>
      </c>
      <c r="M6">
        <f t="shared" si="3"/>
        <v>1.3605799999999999</v>
      </c>
      <c r="N6">
        <v>9.1600000000000001E-2</v>
      </c>
      <c r="P6">
        <v>-6.0000000000000001E-3</v>
      </c>
      <c r="Q6" s="2" t="s">
        <v>8</v>
      </c>
      <c r="R6">
        <f t="shared" si="4"/>
        <v>-7.08E-5</v>
      </c>
      <c r="S6">
        <f t="shared" si="5"/>
        <v>1.3610708</v>
      </c>
      <c r="T6">
        <v>9.0299999999999991E-2</v>
      </c>
    </row>
    <row r="7" spans="1:20" x14ac:dyDescent="0.2">
      <c r="A7" s="5" t="s">
        <v>7</v>
      </c>
      <c r="B7" s="3">
        <v>1.381</v>
      </c>
      <c r="D7">
        <v>1.9699999999999999E-2</v>
      </c>
      <c r="E7" s="5" t="s">
        <v>9</v>
      </c>
      <c r="F7">
        <f t="shared" si="0"/>
        <v>3.3489999999999995E-4</v>
      </c>
      <c r="G7">
        <f t="shared" si="1"/>
        <v>1.3806651000000001</v>
      </c>
      <c r="H7">
        <v>0.13039999999999999</v>
      </c>
      <c r="J7">
        <v>0.13</v>
      </c>
      <c r="K7" s="5" t="s">
        <v>9</v>
      </c>
      <c r="L7">
        <f t="shared" si="2"/>
        <v>1.3649999999999999E-3</v>
      </c>
      <c r="M7">
        <f t="shared" si="3"/>
        <v>1.3796349999999999</v>
      </c>
      <c r="N7">
        <v>0.13170000000000001</v>
      </c>
      <c r="P7">
        <v>1.0200000000000001E-2</v>
      </c>
      <c r="Q7" s="5" t="s">
        <v>9</v>
      </c>
      <c r="R7">
        <f t="shared" si="4"/>
        <v>1.2036000000000002E-4</v>
      </c>
      <c r="S7">
        <f t="shared" si="5"/>
        <v>1.3808796400000001</v>
      </c>
      <c r="T7">
        <v>0.129</v>
      </c>
    </row>
    <row r="8" spans="1:20" x14ac:dyDescent="0.2">
      <c r="A8" s="3">
        <v>0.72099999999999997</v>
      </c>
      <c r="B8" s="3">
        <v>1.401</v>
      </c>
      <c r="D8">
        <v>2.085E-2</v>
      </c>
      <c r="E8" s="3">
        <v>17</v>
      </c>
      <c r="F8">
        <f t="shared" si="0"/>
        <v>3.5444999999999997E-4</v>
      </c>
      <c r="G8">
        <f t="shared" si="1"/>
        <v>1.4006455500000001</v>
      </c>
      <c r="H8">
        <v>0.1739</v>
      </c>
      <c r="J8">
        <v>0.41799999999999998</v>
      </c>
      <c r="K8" s="3">
        <v>10.5</v>
      </c>
      <c r="L8">
        <f t="shared" si="2"/>
        <v>4.3890000000000005E-3</v>
      </c>
      <c r="M8">
        <f t="shared" si="3"/>
        <v>1.396611</v>
      </c>
      <c r="N8">
        <v>0.17379999999999998</v>
      </c>
      <c r="P8">
        <v>6.6000000000000003E-2</v>
      </c>
      <c r="Q8" s="3">
        <v>11.8</v>
      </c>
      <c r="R8">
        <f t="shared" si="4"/>
        <v>7.7880000000000007E-4</v>
      </c>
      <c r="S8">
        <f t="shared" si="5"/>
        <v>1.4002212000000001</v>
      </c>
      <c r="T8">
        <v>0.17080000000000001</v>
      </c>
    </row>
    <row r="9" spans="1:20" x14ac:dyDescent="0.2">
      <c r="B9" s="3">
        <v>1.4209999999999998</v>
      </c>
      <c r="D9">
        <v>2.46E-2</v>
      </c>
      <c r="F9">
        <f t="shared" si="0"/>
        <v>4.1820000000000003E-4</v>
      </c>
      <c r="G9">
        <f t="shared" si="1"/>
        <v>1.4205817999999999</v>
      </c>
      <c r="H9">
        <v>0.22459999999999999</v>
      </c>
      <c r="J9">
        <v>1.05</v>
      </c>
      <c r="L9">
        <f t="shared" si="2"/>
        <v>1.1025E-2</v>
      </c>
      <c r="M9">
        <f t="shared" si="3"/>
        <v>1.4099749999999998</v>
      </c>
      <c r="N9">
        <v>0.2127</v>
      </c>
      <c r="P9">
        <v>0.23499999999999999</v>
      </c>
      <c r="R9">
        <f t="shared" si="4"/>
        <v>2.7730000000000003E-3</v>
      </c>
      <c r="S9">
        <f t="shared" si="5"/>
        <v>1.4182269999999999</v>
      </c>
      <c r="T9">
        <v>0.2155</v>
      </c>
    </row>
    <row r="10" spans="1:20" x14ac:dyDescent="0.2">
      <c r="B10" s="3">
        <v>1.4409999999999998</v>
      </c>
      <c r="D10">
        <v>3.3700000000000001E-2</v>
      </c>
      <c r="F10">
        <f t="shared" si="0"/>
        <v>5.7289999999999999E-4</v>
      </c>
      <c r="G10">
        <f t="shared" si="1"/>
        <v>1.4404270999999997</v>
      </c>
      <c r="H10">
        <v>0.27660000000000001</v>
      </c>
      <c r="J10">
        <v>2.0299999999999998</v>
      </c>
      <c r="L10">
        <f t="shared" si="2"/>
        <v>2.1314999999999997E-2</v>
      </c>
      <c r="M10">
        <f t="shared" si="3"/>
        <v>1.4196849999999999</v>
      </c>
      <c r="N10">
        <v>0.25090000000000001</v>
      </c>
      <c r="P10">
        <v>0.59699999999999998</v>
      </c>
      <c r="R10">
        <f t="shared" si="4"/>
        <v>7.0445999999999998E-3</v>
      </c>
      <c r="S10">
        <f t="shared" si="5"/>
        <v>1.4339553999999999</v>
      </c>
      <c r="T10">
        <v>0.2611</v>
      </c>
    </row>
    <row r="11" spans="1:20" x14ac:dyDescent="0.2">
      <c r="B11" s="3">
        <v>1.4609999999999999</v>
      </c>
      <c r="D11">
        <v>5.8500000000000003E-2</v>
      </c>
      <c r="F11">
        <f t="shared" si="0"/>
        <v>9.9450000000000016E-4</v>
      </c>
      <c r="G11">
        <f t="shared" si="1"/>
        <v>1.4600054999999998</v>
      </c>
      <c r="H11">
        <v>0.32850000000000001</v>
      </c>
      <c r="J11">
        <v>3.26</v>
      </c>
      <c r="L11">
        <f t="shared" si="2"/>
        <v>3.4229999999999997E-2</v>
      </c>
      <c r="M11">
        <f t="shared" si="3"/>
        <v>1.4267699999999999</v>
      </c>
      <c r="N11">
        <v>0.28179999999999999</v>
      </c>
      <c r="P11">
        <v>1.1910000000000001</v>
      </c>
      <c r="R11">
        <f t="shared" si="4"/>
        <v>1.40538E-2</v>
      </c>
      <c r="S11">
        <f t="shared" si="5"/>
        <v>1.4469462</v>
      </c>
      <c r="T11">
        <v>0.29900000000000004</v>
      </c>
    </row>
    <row r="12" spans="1:20" x14ac:dyDescent="0.2">
      <c r="B12" s="3">
        <v>1.4809999999999999</v>
      </c>
      <c r="D12">
        <v>0.115</v>
      </c>
      <c r="F12">
        <f t="shared" si="0"/>
        <v>1.9550000000000001E-3</v>
      </c>
      <c r="G12">
        <f t="shared" si="1"/>
        <v>1.4790449999999999</v>
      </c>
      <c r="H12">
        <v>0.37710000000000005</v>
      </c>
      <c r="J12">
        <v>4.62</v>
      </c>
      <c r="L12">
        <f t="shared" si="2"/>
        <v>4.8509999999999998E-2</v>
      </c>
      <c r="M12">
        <f t="shared" si="3"/>
        <v>1.4324899999999998</v>
      </c>
      <c r="N12">
        <v>0.31190000000000001</v>
      </c>
      <c r="P12">
        <v>1.976</v>
      </c>
      <c r="R12">
        <f t="shared" si="4"/>
        <v>2.3316800000000002E-2</v>
      </c>
      <c r="S12">
        <f t="shared" si="5"/>
        <v>1.4576832</v>
      </c>
      <c r="T12">
        <v>0.3332</v>
      </c>
    </row>
    <row r="13" spans="1:20" x14ac:dyDescent="0.2">
      <c r="B13" s="3">
        <v>1.5009999999999999</v>
      </c>
      <c r="D13">
        <v>0.22500000000000001</v>
      </c>
      <c r="F13">
        <f t="shared" si="0"/>
        <v>3.8250000000000003E-3</v>
      </c>
      <c r="G13">
        <f t="shared" si="1"/>
        <v>1.4971749999999999</v>
      </c>
      <c r="H13">
        <v>0.42000000000000004</v>
      </c>
      <c r="J13">
        <v>6.12</v>
      </c>
      <c r="L13">
        <f t="shared" si="2"/>
        <v>6.4260000000000012E-2</v>
      </c>
      <c r="M13">
        <f t="shared" si="3"/>
        <v>1.4367399999999999</v>
      </c>
      <c r="N13">
        <v>0.33899999999999997</v>
      </c>
      <c r="P13">
        <v>2.92</v>
      </c>
      <c r="R13">
        <f t="shared" si="4"/>
        <v>3.4456000000000001E-2</v>
      </c>
      <c r="S13">
        <f t="shared" si="5"/>
        <v>1.4665439999999998</v>
      </c>
      <c r="T13">
        <v>0.36070000000000002</v>
      </c>
    </row>
    <row r="14" spans="1:20" x14ac:dyDescent="0.2">
      <c r="B14" s="3">
        <v>1.5209999999999999</v>
      </c>
      <c r="D14">
        <v>0.39700000000000002</v>
      </c>
      <c r="F14">
        <f t="shared" si="0"/>
        <v>6.7490000000000007E-3</v>
      </c>
      <c r="G14">
        <f t="shared" si="1"/>
        <v>1.514251</v>
      </c>
      <c r="H14">
        <v>0.4612</v>
      </c>
      <c r="J14">
        <v>7.69</v>
      </c>
      <c r="L14">
        <f t="shared" si="2"/>
        <v>8.0745000000000011E-2</v>
      </c>
      <c r="M14">
        <f t="shared" si="3"/>
        <v>1.4402549999999998</v>
      </c>
      <c r="N14">
        <v>0.36499999999999999</v>
      </c>
      <c r="P14">
        <v>3.97</v>
      </c>
      <c r="R14">
        <f t="shared" si="4"/>
        <v>4.6846000000000006E-2</v>
      </c>
      <c r="S14">
        <f t="shared" si="5"/>
        <v>1.474154</v>
      </c>
      <c r="T14">
        <v>0.38650000000000001</v>
      </c>
    </row>
    <row r="15" spans="1:20" x14ac:dyDescent="0.2">
      <c r="B15" s="3">
        <v>1.5409999999999999</v>
      </c>
      <c r="D15">
        <v>0.65500000000000003</v>
      </c>
      <c r="F15">
        <f t="shared" si="0"/>
        <v>1.1134999999999999E-2</v>
      </c>
      <c r="G15">
        <f t="shared" si="1"/>
        <v>1.529865</v>
      </c>
      <c r="H15">
        <v>0.49350000000000005</v>
      </c>
      <c r="J15">
        <v>9.33</v>
      </c>
      <c r="L15">
        <f t="shared" si="2"/>
        <v>9.7964999999999997E-2</v>
      </c>
      <c r="M15">
        <f t="shared" si="3"/>
        <v>1.4430349999999998</v>
      </c>
      <c r="N15">
        <v>0.38829999999999998</v>
      </c>
      <c r="P15">
        <v>5.1100000000000003</v>
      </c>
      <c r="R15">
        <f t="shared" si="4"/>
        <v>6.0298000000000011E-2</v>
      </c>
      <c r="S15">
        <f t="shared" si="5"/>
        <v>1.480702</v>
      </c>
      <c r="T15">
        <v>0.41210000000000002</v>
      </c>
    </row>
    <row r="16" spans="1:20" x14ac:dyDescent="0.2">
      <c r="B16" s="3">
        <v>1.5609999999999999</v>
      </c>
      <c r="D16">
        <v>1</v>
      </c>
      <c r="F16">
        <f t="shared" si="0"/>
        <v>1.7000000000000001E-2</v>
      </c>
      <c r="G16">
        <f t="shared" si="1"/>
        <v>1.544</v>
      </c>
      <c r="H16">
        <v>0.52039999999999997</v>
      </c>
      <c r="J16">
        <v>10.99</v>
      </c>
      <c r="L16">
        <f t="shared" si="2"/>
        <v>0.115395</v>
      </c>
      <c r="M16">
        <f t="shared" si="3"/>
        <v>1.445605</v>
      </c>
      <c r="N16">
        <v>0.41039999999999999</v>
      </c>
      <c r="P16">
        <v>6.31</v>
      </c>
      <c r="R16">
        <f t="shared" si="4"/>
        <v>7.4457999999999996E-2</v>
      </c>
      <c r="S16">
        <f t="shared" si="5"/>
        <v>1.486542</v>
      </c>
      <c r="T16">
        <v>0.43200000000000005</v>
      </c>
    </row>
    <row r="17" spans="2:20" x14ac:dyDescent="0.2">
      <c r="B17" s="3">
        <v>1.581</v>
      </c>
      <c r="D17">
        <v>1.43</v>
      </c>
      <c r="F17">
        <f t="shared" si="0"/>
        <v>2.4309999999999998E-2</v>
      </c>
      <c r="G17">
        <f t="shared" si="1"/>
        <v>1.5566899999999999</v>
      </c>
      <c r="H17">
        <v>0.5393</v>
      </c>
      <c r="J17">
        <v>12.69</v>
      </c>
      <c r="L17">
        <f t="shared" si="2"/>
        <v>0.133245</v>
      </c>
      <c r="M17">
        <f t="shared" si="3"/>
        <v>1.4477549999999999</v>
      </c>
      <c r="N17">
        <v>0.43140000000000001</v>
      </c>
      <c r="P17">
        <v>7.55</v>
      </c>
      <c r="R17">
        <f t="shared" si="4"/>
        <v>8.9090000000000003E-2</v>
      </c>
      <c r="S17">
        <f t="shared" si="5"/>
        <v>1.4919099999999998</v>
      </c>
      <c r="T17">
        <v>0.45120000000000005</v>
      </c>
    </row>
    <row r="18" spans="2:20" x14ac:dyDescent="0.2">
      <c r="B18" s="3">
        <v>1.601</v>
      </c>
      <c r="D18">
        <v>1.915</v>
      </c>
      <c r="F18">
        <f t="shared" si="0"/>
        <v>3.2555000000000001E-2</v>
      </c>
      <c r="G18">
        <f t="shared" si="1"/>
        <v>1.5684450000000001</v>
      </c>
      <c r="H18">
        <v>0.55330000000000001</v>
      </c>
      <c r="J18">
        <v>14.42</v>
      </c>
      <c r="L18">
        <f t="shared" si="2"/>
        <v>0.15140999999999999</v>
      </c>
      <c r="M18">
        <f t="shared" si="3"/>
        <v>1.4495899999999999</v>
      </c>
      <c r="N18">
        <v>0.4577</v>
      </c>
      <c r="P18">
        <v>8.85</v>
      </c>
      <c r="R18">
        <f t="shared" si="4"/>
        <v>0.10443000000000001</v>
      </c>
      <c r="S18">
        <f t="shared" si="5"/>
        <v>1.49657</v>
      </c>
      <c r="T18">
        <v>0.47030000000000005</v>
      </c>
    </row>
    <row r="19" spans="2:20" x14ac:dyDescent="0.2">
      <c r="B19" s="3">
        <v>1.631</v>
      </c>
      <c r="D19">
        <v>2.79</v>
      </c>
      <c r="F19">
        <f t="shared" si="0"/>
        <v>4.743E-2</v>
      </c>
      <c r="G19">
        <f t="shared" si="1"/>
        <v>1.5835699999999999</v>
      </c>
      <c r="H19">
        <v>0.57129999999999992</v>
      </c>
      <c r="J19">
        <v>17.05</v>
      </c>
      <c r="L19">
        <f t="shared" si="2"/>
        <v>0.17902500000000002</v>
      </c>
      <c r="M19">
        <f t="shared" si="3"/>
        <v>1.451975</v>
      </c>
      <c r="N19">
        <v>0.4793</v>
      </c>
      <c r="P19">
        <v>10.85</v>
      </c>
      <c r="R19">
        <f t="shared" si="4"/>
        <v>0.12803</v>
      </c>
      <c r="S19">
        <f t="shared" si="5"/>
        <v>1.5029699999999999</v>
      </c>
      <c r="T19">
        <v>0.49590000000000001</v>
      </c>
    </row>
    <row r="20" spans="2:20" x14ac:dyDescent="0.2">
      <c r="B20" s="3">
        <v>1.661</v>
      </c>
      <c r="D20">
        <v>3.77</v>
      </c>
      <c r="F20">
        <f t="shared" si="0"/>
        <v>6.4090000000000008E-2</v>
      </c>
      <c r="G20">
        <f t="shared" si="1"/>
        <v>1.5969100000000001</v>
      </c>
      <c r="H20">
        <v>0.58689999999999998</v>
      </c>
      <c r="J20">
        <v>19.7</v>
      </c>
      <c r="L20">
        <f t="shared" si="2"/>
        <v>0.20685000000000001</v>
      </c>
      <c r="M20">
        <f t="shared" si="3"/>
        <v>1.4541500000000001</v>
      </c>
      <c r="N20">
        <v>0.50850000000000006</v>
      </c>
      <c r="P20">
        <v>12.88</v>
      </c>
      <c r="R20">
        <f t="shared" si="4"/>
        <v>0.15198400000000001</v>
      </c>
      <c r="S20">
        <f t="shared" si="5"/>
        <v>1.5090159999999999</v>
      </c>
      <c r="T20">
        <v>0.52050000000000007</v>
      </c>
    </row>
    <row r="21" spans="2:20" x14ac:dyDescent="0.2">
      <c r="B21" s="3">
        <v>1.6909999999999998</v>
      </c>
      <c r="D21">
        <v>4.79</v>
      </c>
      <c r="F21">
        <f t="shared" si="0"/>
        <v>8.1430000000000002E-2</v>
      </c>
      <c r="G21">
        <f t="shared" si="1"/>
        <v>1.6095699999999997</v>
      </c>
      <c r="H21">
        <v>0.59889999999999999</v>
      </c>
      <c r="J21">
        <v>22.46</v>
      </c>
      <c r="L21">
        <f t="shared" si="2"/>
        <v>0.23583000000000001</v>
      </c>
      <c r="M21">
        <f t="shared" si="3"/>
        <v>1.4551699999999999</v>
      </c>
      <c r="N21">
        <v>0.5343</v>
      </c>
      <c r="P21">
        <v>14.98</v>
      </c>
      <c r="R21">
        <f t="shared" si="4"/>
        <v>0.176764</v>
      </c>
      <c r="S21">
        <f t="shared" si="5"/>
        <v>1.5142359999999999</v>
      </c>
      <c r="T21">
        <v>0.54249999999999998</v>
      </c>
    </row>
    <row r="22" spans="2:20" x14ac:dyDescent="0.2">
      <c r="B22" s="3">
        <v>1.7210000000000001</v>
      </c>
      <c r="D22">
        <v>5.87</v>
      </c>
      <c r="F22">
        <f t="shared" si="0"/>
        <v>9.9790000000000004E-2</v>
      </c>
      <c r="G22">
        <f t="shared" si="1"/>
        <v>1.62121</v>
      </c>
      <c r="H22">
        <v>0.60880000000000001</v>
      </c>
      <c r="J22">
        <v>25.25</v>
      </c>
      <c r="L22">
        <f t="shared" si="2"/>
        <v>0.265125</v>
      </c>
      <c r="M22">
        <f t="shared" si="3"/>
        <v>1.455875</v>
      </c>
      <c r="N22">
        <v>0.56589999999999996</v>
      </c>
      <c r="P22">
        <v>17.100000000000001</v>
      </c>
      <c r="R22">
        <f t="shared" si="4"/>
        <v>0.20178000000000004</v>
      </c>
      <c r="S22">
        <f t="shared" si="5"/>
        <v>1.51922</v>
      </c>
      <c r="T22">
        <v>0.5585</v>
      </c>
    </row>
    <row r="23" spans="2:20" x14ac:dyDescent="0.2">
      <c r="B23" s="3">
        <v>1.7509999999999999</v>
      </c>
      <c r="D23">
        <v>6.99</v>
      </c>
      <c r="F23">
        <f t="shared" si="0"/>
        <v>0.11883000000000001</v>
      </c>
      <c r="G23">
        <f t="shared" si="1"/>
        <v>1.6321699999999999</v>
      </c>
      <c r="H23">
        <v>0.61659999999999993</v>
      </c>
      <c r="J23">
        <v>27.95</v>
      </c>
      <c r="L23">
        <f t="shared" si="2"/>
        <v>0.29347499999999999</v>
      </c>
      <c r="M23">
        <f t="shared" si="3"/>
        <v>1.457525</v>
      </c>
      <c r="N23">
        <v>0.59019999999999995</v>
      </c>
      <c r="P23">
        <v>19.2</v>
      </c>
      <c r="R23">
        <f t="shared" si="4"/>
        <v>0.22656000000000001</v>
      </c>
      <c r="S23">
        <f t="shared" si="5"/>
        <v>1.5244399999999998</v>
      </c>
      <c r="T23">
        <v>0.58320000000000005</v>
      </c>
    </row>
    <row r="24" spans="2:20" x14ac:dyDescent="0.2">
      <c r="B24" s="3">
        <v>1.7810000000000001</v>
      </c>
      <c r="D24">
        <v>8.15</v>
      </c>
      <c r="F24">
        <f t="shared" si="0"/>
        <v>0.13855000000000001</v>
      </c>
      <c r="G24">
        <f t="shared" si="1"/>
        <v>1.6424500000000002</v>
      </c>
      <c r="H24">
        <v>0.62280000000000002</v>
      </c>
      <c r="J24">
        <v>30.55</v>
      </c>
      <c r="L24">
        <f t="shared" si="2"/>
        <v>0.32077500000000003</v>
      </c>
      <c r="M24">
        <f t="shared" si="3"/>
        <v>1.4602250000000001</v>
      </c>
      <c r="N24">
        <v>0.61799999999999999</v>
      </c>
      <c r="P24">
        <v>21.4</v>
      </c>
      <c r="R24">
        <f t="shared" si="4"/>
        <v>0.25252000000000002</v>
      </c>
      <c r="S24">
        <f t="shared" si="5"/>
        <v>1.5284800000000001</v>
      </c>
      <c r="T24">
        <v>0.60760000000000003</v>
      </c>
    </row>
    <row r="25" spans="2:20" x14ac:dyDescent="0.2">
      <c r="B25" s="3">
        <v>1.8109999999999999</v>
      </c>
      <c r="D25">
        <v>9.35</v>
      </c>
      <c r="F25">
        <f t="shared" si="0"/>
        <v>0.15894999999999998</v>
      </c>
      <c r="G25">
        <f t="shared" si="1"/>
        <v>1.65205</v>
      </c>
      <c r="H25">
        <v>0.62629999999999997</v>
      </c>
      <c r="J25">
        <v>33.35</v>
      </c>
      <c r="L25">
        <f t="shared" si="2"/>
        <v>0.35017500000000001</v>
      </c>
      <c r="M25">
        <f t="shared" si="3"/>
        <v>1.4608249999999998</v>
      </c>
      <c r="N25">
        <v>0.64229999999999998</v>
      </c>
      <c r="P25">
        <v>23.54</v>
      </c>
      <c r="R25">
        <f t="shared" si="4"/>
        <v>0.27777200000000002</v>
      </c>
      <c r="S25">
        <f t="shared" si="5"/>
        <v>1.5332279999999998</v>
      </c>
      <c r="T25">
        <v>0.62270000000000003</v>
      </c>
    </row>
    <row r="26" spans="2:20" x14ac:dyDescent="0.2">
      <c r="B26" s="3">
        <v>1.8410000000000002</v>
      </c>
      <c r="D26">
        <v>10.56</v>
      </c>
      <c r="F26">
        <f t="shared" si="0"/>
        <v>0.17952000000000001</v>
      </c>
      <c r="G26">
        <f t="shared" si="1"/>
        <v>1.6614800000000001</v>
      </c>
      <c r="H26">
        <v>0.63200000000000001</v>
      </c>
      <c r="J26">
        <v>36.159999999999997</v>
      </c>
      <c r="L26">
        <f t="shared" si="2"/>
        <v>0.37967999999999996</v>
      </c>
      <c r="M26">
        <f t="shared" si="3"/>
        <v>1.4613200000000002</v>
      </c>
      <c r="N26">
        <v>0.66610000000000003</v>
      </c>
      <c r="P26">
        <v>25.75</v>
      </c>
      <c r="R26">
        <f t="shared" si="4"/>
        <v>0.30385000000000001</v>
      </c>
      <c r="S26">
        <f t="shared" si="5"/>
        <v>1.5371500000000002</v>
      </c>
      <c r="T26">
        <v>0.64190000000000003</v>
      </c>
    </row>
    <row r="27" spans="2:20" x14ac:dyDescent="0.2">
      <c r="B27" s="3">
        <v>1.871</v>
      </c>
      <c r="D27">
        <v>11.81</v>
      </c>
      <c r="F27">
        <f t="shared" si="0"/>
        <v>0.20077</v>
      </c>
      <c r="G27">
        <f t="shared" si="1"/>
        <v>1.6702300000000001</v>
      </c>
      <c r="H27">
        <v>0.63749999999999996</v>
      </c>
      <c r="J27">
        <v>38.9</v>
      </c>
      <c r="L27">
        <f t="shared" si="2"/>
        <v>0.40844999999999998</v>
      </c>
      <c r="M27">
        <f t="shared" si="3"/>
        <v>1.46255</v>
      </c>
      <c r="N27">
        <v>0.69320000000000004</v>
      </c>
      <c r="P27">
        <v>27.83</v>
      </c>
      <c r="R27">
        <f t="shared" si="4"/>
        <v>0.32839400000000002</v>
      </c>
      <c r="S27">
        <f t="shared" si="5"/>
        <v>1.5426059999999999</v>
      </c>
      <c r="T27">
        <v>0.65480000000000005</v>
      </c>
    </row>
    <row r="28" spans="2:20" x14ac:dyDescent="0.2">
      <c r="B28" s="3">
        <v>1.9009999999999998</v>
      </c>
      <c r="D28">
        <v>13.08</v>
      </c>
      <c r="F28">
        <f t="shared" si="0"/>
        <v>0.22236</v>
      </c>
      <c r="G28">
        <f t="shared" si="1"/>
        <v>1.6786399999999997</v>
      </c>
      <c r="H28">
        <v>0.64259999999999995</v>
      </c>
      <c r="J28">
        <v>41.6</v>
      </c>
      <c r="L28">
        <f t="shared" si="2"/>
        <v>0.43680000000000002</v>
      </c>
      <c r="M28">
        <f t="shared" si="3"/>
        <v>1.4641999999999997</v>
      </c>
      <c r="N28">
        <v>0.70860000000000001</v>
      </c>
      <c r="P28">
        <v>30.1</v>
      </c>
      <c r="R28">
        <f t="shared" si="4"/>
        <v>0.35518000000000005</v>
      </c>
      <c r="S28">
        <f t="shared" si="5"/>
        <v>1.5458199999999997</v>
      </c>
      <c r="T28">
        <v>0.67959999999999998</v>
      </c>
    </row>
    <row r="29" spans="2:20" x14ac:dyDescent="0.2">
      <c r="B29" s="3">
        <v>1.931</v>
      </c>
      <c r="D29">
        <v>14.35</v>
      </c>
      <c r="F29">
        <f t="shared" si="0"/>
        <v>0.24395</v>
      </c>
      <c r="G29">
        <f t="shared" si="1"/>
        <v>1.6870500000000002</v>
      </c>
      <c r="H29">
        <v>0.64669999999999994</v>
      </c>
      <c r="J29">
        <v>43.85</v>
      </c>
      <c r="L29">
        <f t="shared" si="2"/>
        <v>0.46042500000000003</v>
      </c>
      <c r="M29">
        <f t="shared" si="3"/>
        <v>1.470575</v>
      </c>
      <c r="N29">
        <v>0.72899999999999998</v>
      </c>
      <c r="P29">
        <v>32.35</v>
      </c>
      <c r="R29">
        <f t="shared" si="4"/>
        <v>0.38173000000000001</v>
      </c>
      <c r="S29">
        <f t="shared" si="5"/>
        <v>1.5492699999999999</v>
      </c>
      <c r="T29">
        <v>0.69469999999999998</v>
      </c>
    </row>
    <row r="30" spans="2:20" x14ac:dyDescent="0.2">
      <c r="B30" s="3">
        <v>1.9609999999999999</v>
      </c>
      <c r="D30">
        <v>15.65</v>
      </c>
      <c r="F30">
        <f t="shared" si="0"/>
        <v>0.26605000000000001</v>
      </c>
      <c r="G30">
        <f t="shared" si="1"/>
        <v>1.69495</v>
      </c>
      <c r="H30">
        <v>0.6482</v>
      </c>
      <c r="J30">
        <v>46.1</v>
      </c>
      <c r="L30">
        <f t="shared" si="2"/>
        <v>0.48405000000000004</v>
      </c>
      <c r="M30">
        <f t="shared" si="3"/>
        <v>1.4769499999999998</v>
      </c>
      <c r="N30">
        <v>0.74809999999999999</v>
      </c>
      <c r="P30">
        <v>34.5</v>
      </c>
      <c r="R30">
        <f t="shared" si="4"/>
        <v>0.40710000000000002</v>
      </c>
      <c r="S30">
        <f t="shared" si="5"/>
        <v>1.5538999999999998</v>
      </c>
      <c r="T30">
        <v>0.70900000000000007</v>
      </c>
    </row>
  </sheetData>
  <mergeCells count="3">
    <mergeCell ref="D1:H1"/>
    <mergeCell ref="J1:N1"/>
    <mergeCell ref="P1:T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40D63-A63A-B841-A3A3-F3811BD855EA}">
  <dimension ref="A1:O25"/>
  <sheetViews>
    <sheetView workbookViewId="0">
      <selection activeCell="E34" sqref="E34"/>
    </sheetView>
  </sheetViews>
  <sheetFormatPr baseColWidth="10" defaultRowHeight="16" x14ac:dyDescent="0.2"/>
  <cols>
    <col min="1" max="1" width="4.6640625" bestFit="1" customWidth="1"/>
    <col min="2" max="2" width="8.1640625" bestFit="1" customWidth="1"/>
    <col min="3" max="3" width="8.1640625" customWidth="1"/>
    <col min="4" max="10" width="12.1640625" bestFit="1" customWidth="1"/>
    <col min="11" max="11" width="12.83203125" bestFit="1" customWidth="1"/>
    <col min="12" max="12" width="12.1640625" bestFit="1" customWidth="1"/>
    <col min="13" max="13" width="12.83203125" bestFit="1" customWidth="1"/>
    <col min="14" max="15" width="12.1640625" bestFit="1" customWidth="1"/>
  </cols>
  <sheetData>
    <row r="1" spans="1:15" x14ac:dyDescent="0.2">
      <c r="A1" t="s">
        <v>17</v>
      </c>
      <c r="B1" t="s">
        <v>18</v>
      </c>
      <c r="C1" t="s">
        <v>32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</row>
    <row r="2" spans="1:15" x14ac:dyDescent="0.2">
      <c r="A2">
        <v>1</v>
      </c>
      <c r="B2" t="s">
        <v>31</v>
      </c>
      <c r="C2">
        <v>1.3806651000000001</v>
      </c>
      <c r="D2">
        <v>1.38052029378097</v>
      </c>
      <c r="E2">
        <v>1.3105800008530399</v>
      </c>
      <c r="F2">
        <v>6.9940292927932607E-2</v>
      </c>
      <c r="G2">
        <v>3.55585198805207</v>
      </c>
      <c r="H2">
        <v>2.2537237205758499E-3</v>
      </c>
      <c r="I2">
        <v>32.320728930552399</v>
      </c>
      <c r="J2">
        <v>1.9731936086805499E-2</v>
      </c>
      <c r="K2">
        <v>9.0770523341020502E-3</v>
      </c>
      <c r="L2">
        <v>1.3630448115075399E-4</v>
      </c>
      <c r="M2">
        <v>-4.2085993398252697E-2</v>
      </c>
      <c r="N2">
        <v>1.3215159051649801E-4</v>
      </c>
      <c r="O2">
        <v>0.99839490436957101</v>
      </c>
    </row>
    <row r="3" spans="1:15" x14ac:dyDescent="0.2">
      <c r="A3">
        <v>2</v>
      </c>
      <c r="B3" t="s">
        <v>31</v>
      </c>
      <c r="C3">
        <v>1.4006455500000001</v>
      </c>
      <c r="D3">
        <v>1.4006028061760001</v>
      </c>
      <c r="E3">
        <v>1.3105890992484599</v>
      </c>
      <c r="F3">
        <v>9.0013706927537504E-2</v>
      </c>
      <c r="G3">
        <v>4.6060848083291601</v>
      </c>
      <c r="H3">
        <v>2.1890950250481101E-3</v>
      </c>
      <c r="I3">
        <v>33.559834353248398</v>
      </c>
      <c r="J3">
        <v>1.5206749446992501E-2</v>
      </c>
      <c r="K3">
        <v>1.25410546743872E-2</v>
      </c>
      <c r="L3">
        <v>1.3501916578402499E-4</v>
      </c>
      <c r="M3">
        <v>-4.5136796454168703E-2</v>
      </c>
      <c r="N3">
        <v>1.30466433297964E-4</v>
      </c>
      <c r="O3">
        <v>0.99911455574054098</v>
      </c>
    </row>
    <row r="4" spans="1:15" x14ac:dyDescent="0.2">
      <c r="A4">
        <v>3</v>
      </c>
      <c r="B4" t="s">
        <v>31</v>
      </c>
      <c r="C4">
        <v>1.4205817999999999</v>
      </c>
      <c r="D4">
        <v>1.42060589754</v>
      </c>
      <c r="E4">
        <v>1.3105820923076099</v>
      </c>
      <c r="F4">
        <v>0.110023805232384</v>
      </c>
      <c r="G4">
        <v>5.7903822146696404</v>
      </c>
      <c r="H4">
        <v>2.1709884770470798E-3</v>
      </c>
      <c r="I4">
        <v>34.921409182640701</v>
      </c>
      <c r="J4">
        <v>1.23486138967465E-2</v>
      </c>
      <c r="K4">
        <v>1.05155518971822E-2</v>
      </c>
      <c r="L4">
        <v>1.3667040331665501E-4</v>
      </c>
      <c r="M4">
        <v>-4.2190362846635299E-2</v>
      </c>
      <c r="N4">
        <v>1.31596341443E-4</v>
      </c>
      <c r="O4">
        <v>0.99944411186744897</v>
      </c>
    </row>
    <row r="5" spans="1:15" x14ac:dyDescent="0.2">
      <c r="A5">
        <v>4</v>
      </c>
      <c r="B5" t="s">
        <v>31</v>
      </c>
      <c r="C5">
        <v>1.4404270999999997</v>
      </c>
      <c r="D5">
        <v>1.4406715815519999</v>
      </c>
      <c r="E5">
        <v>1.3105840660698</v>
      </c>
      <c r="F5">
        <v>0.13008751548219599</v>
      </c>
      <c r="G5">
        <v>6.9424203508491003</v>
      </c>
      <c r="H5">
        <v>2.4267317874077398E-3</v>
      </c>
      <c r="I5">
        <v>36.690983788900702</v>
      </c>
      <c r="J5">
        <v>1.1934493448975399E-2</v>
      </c>
      <c r="K5">
        <v>6.5989191701119497E-3</v>
      </c>
      <c r="L5">
        <v>1.56645141293126E-4</v>
      </c>
      <c r="M5">
        <v>-3.8545653324447898E-2</v>
      </c>
      <c r="N5">
        <v>1.5017323012747399E-4</v>
      </c>
      <c r="O5">
        <v>0.99951558736417601</v>
      </c>
    </row>
    <row r="6" spans="1:15" x14ac:dyDescent="0.2">
      <c r="A6">
        <v>5</v>
      </c>
      <c r="B6" t="s">
        <v>31</v>
      </c>
      <c r="C6">
        <v>1.4600054999999998</v>
      </c>
      <c r="D6">
        <v>1.4606741914479999</v>
      </c>
      <c r="E6">
        <v>1.31058275642182</v>
      </c>
      <c r="F6">
        <v>0.150091435026178</v>
      </c>
      <c r="G6">
        <v>8.0642260334184392</v>
      </c>
      <c r="H6">
        <v>2.5968185429398201E-3</v>
      </c>
      <c r="I6">
        <v>37.423370290017999</v>
      </c>
      <c r="J6">
        <v>1.1153907418979999E-2</v>
      </c>
      <c r="K6">
        <v>1.24005593971527E-2</v>
      </c>
      <c r="L6">
        <v>1.6929210131974001E-4</v>
      </c>
      <c r="M6">
        <v>-4.3056467831452901E-2</v>
      </c>
      <c r="N6">
        <v>1.6201657019339501E-4</v>
      </c>
      <c r="O6">
        <v>0.99959853962751699</v>
      </c>
    </row>
    <row r="7" spans="1:15" x14ac:dyDescent="0.2">
      <c r="A7">
        <v>6</v>
      </c>
      <c r="B7" t="s">
        <v>31</v>
      </c>
      <c r="C7">
        <v>1.4790449999999999</v>
      </c>
      <c r="D7">
        <v>1.4804174565120001</v>
      </c>
      <c r="E7">
        <v>1.3105803186109299</v>
      </c>
      <c r="F7">
        <v>0.169837137901069</v>
      </c>
      <c r="G7">
        <v>9.1131311914384394</v>
      </c>
      <c r="H7">
        <v>3.0549497796358502E-3</v>
      </c>
      <c r="I7">
        <v>39.427269383063503</v>
      </c>
      <c r="J7">
        <v>1.20622379025526E-2</v>
      </c>
      <c r="K7">
        <v>7.9989287457006304E-4</v>
      </c>
      <c r="L7">
        <v>2.0437032131618099E-4</v>
      </c>
      <c r="M7">
        <v>-3.3368830089549301E-2</v>
      </c>
      <c r="N7">
        <v>1.9470026614731099E-4</v>
      </c>
      <c r="O7">
        <v>0.99955806653681001</v>
      </c>
    </row>
    <row r="8" spans="1:15" x14ac:dyDescent="0.2">
      <c r="A8">
        <v>7</v>
      </c>
      <c r="B8" t="s">
        <v>31</v>
      </c>
      <c r="C8">
        <v>1.4971749999999999</v>
      </c>
      <c r="D8">
        <v>1.500419367096</v>
      </c>
      <c r="E8">
        <v>1.3105740577768801</v>
      </c>
      <c r="F8">
        <v>0.18984530931911101</v>
      </c>
      <c r="G8">
        <v>10.0103060074561</v>
      </c>
      <c r="H8">
        <v>3.3183706129387802E-3</v>
      </c>
      <c r="I8">
        <v>40.432443982412202</v>
      </c>
      <c r="J8">
        <v>1.21500314910815E-2</v>
      </c>
      <c r="K8">
        <v>-6.0030607918330097E-4</v>
      </c>
      <c r="L8">
        <v>2.2474402278031499E-4</v>
      </c>
      <c r="M8">
        <v>-3.3015167512014401E-2</v>
      </c>
      <c r="N8">
        <v>2.1364429756363999E-4</v>
      </c>
      <c r="O8">
        <v>0.99957086817597196</v>
      </c>
    </row>
    <row r="9" spans="1:15" x14ac:dyDescent="0.2">
      <c r="A9">
        <v>8</v>
      </c>
      <c r="B9" t="s">
        <v>31</v>
      </c>
      <c r="C9">
        <v>1.514251</v>
      </c>
      <c r="D9">
        <v>1.52046065917199</v>
      </c>
      <c r="E9">
        <v>1.3105631039746899</v>
      </c>
      <c r="F9">
        <v>0.20989755519730099</v>
      </c>
      <c r="G9">
        <v>10.656538607562</v>
      </c>
      <c r="H9">
        <v>4.2591979971373598E-3</v>
      </c>
      <c r="I9">
        <v>40.733882548974698</v>
      </c>
      <c r="J9">
        <v>1.47291624849149E-2</v>
      </c>
      <c r="K9">
        <v>1.1229793450637999E-2</v>
      </c>
      <c r="L9">
        <v>2.8950870476875898E-4</v>
      </c>
      <c r="M9">
        <v>-4.2151002217207599E-2</v>
      </c>
      <c r="N9">
        <v>2.7503422263736699E-4</v>
      </c>
      <c r="O9">
        <v>0.99939563293133005</v>
      </c>
    </row>
    <row r="10" spans="1:15" x14ac:dyDescent="0.2">
      <c r="A10">
        <v>9</v>
      </c>
      <c r="B10" t="s">
        <v>31</v>
      </c>
      <c r="C10">
        <v>1.529865</v>
      </c>
      <c r="D10">
        <v>1.54046218014</v>
      </c>
      <c r="E10">
        <v>1.3105647427696301</v>
      </c>
      <c r="F10">
        <v>0.229897437370361</v>
      </c>
      <c r="G10">
        <v>11.303306943455601</v>
      </c>
      <c r="H10">
        <v>4.4153004113019201E-3</v>
      </c>
      <c r="I10">
        <v>40.755687584336798</v>
      </c>
      <c r="J10">
        <v>1.4400968425914E-2</v>
      </c>
      <c r="K10">
        <v>1.7091261743089298E-2</v>
      </c>
      <c r="L10">
        <v>3.0019750278844498E-4</v>
      </c>
      <c r="M10">
        <v>-4.6843291100270197E-2</v>
      </c>
      <c r="N10">
        <v>2.8517547221411398E-4</v>
      </c>
      <c r="O10">
        <v>0.99942946244646902</v>
      </c>
    </row>
    <row r="11" spans="1:15" x14ac:dyDescent="0.2">
      <c r="A11">
        <v>10</v>
      </c>
      <c r="B11" t="s">
        <v>31</v>
      </c>
      <c r="C11">
        <v>1.544</v>
      </c>
      <c r="D11">
        <v>1.5605253082919901</v>
      </c>
      <c r="E11">
        <v>1.31056831753537</v>
      </c>
      <c r="F11">
        <v>0.249956990756623</v>
      </c>
      <c r="G11">
        <v>11.719077519184699</v>
      </c>
      <c r="H11">
        <v>4.9743014124442901E-3</v>
      </c>
      <c r="I11">
        <v>41.457077470670797</v>
      </c>
      <c r="J11">
        <v>1.5845990780445199E-2</v>
      </c>
      <c r="K11">
        <v>1.62740555866763E-2</v>
      </c>
      <c r="L11">
        <v>3.4101462783592398E-4</v>
      </c>
      <c r="M11">
        <v>-4.5752222262045401E-2</v>
      </c>
      <c r="N11">
        <v>3.2347529070299498E-4</v>
      </c>
      <c r="O11">
        <v>0.99932901327613699</v>
      </c>
    </row>
    <row r="12" spans="1:15" x14ac:dyDescent="0.2">
      <c r="A12">
        <v>11</v>
      </c>
      <c r="B12" t="s">
        <v>31</v>
      </c>
      <c r="C12">
        <v>1.5566899999999999</v>
      </c>
      <c r="D12">
        <v>1.5805405895360001</v>
      </c>
      <c r="E12">
        <v>1.3105646119515899</v>
      </c>
      <c r="F12">
        <v>0.269975977584402</v>
      </c>
      <c r="G12">
        <v>12.111324220659601</v>
      </c>
      <c r="H12">
        <v>5.6362332208097403E-3</v>
      </c>
      <c r="I12">
        <v>41.272868442574399</v>
      </c>
      <c r="J12">
        <v>1.7316348770307601E-2</v>
      </c>
      <c r="K12">
        <v>2.3375019615530099E-2</v>
      </c>
      <c r="L12">
        <v>3.85561462058276E-4</v>
      </c>
      <c r="M12">
        <v>-5.1520838094196102E-2</v>
      </c>
      <c r="N12">
        <v>3.65870791916169E-4</v>
      </c>
      <c r="O12">
        <v>0.999202932453785</v>
      </c>
    </row>
    <row r="13" spans="1:15" x14ac:dyDescent="0.2">
      <c r="A13">
        <v>12</v>
      </c>
      <c r="B13" t="s">
        <v>31</v>
      </c>
      <c r="C13">
        <v>1.5684450000000001</v>
      </c>
      <c r="D13">
        <v>1.6005941982559999</v>
      </c>
      <c r="E13">
        <v>1.31057901574178</v>
      </c>
      <c r="F13">
        <v>0.29001518251421299</v>
      </c>
      <c r="G13">
        <v>12.531928562332499</v>
      </c>
      <c r="H13">
        <v>4.0853759327751701E-3</v>
      </c>
      <c r="I13">
        <v>41.793138408399003</v>
      </c>
      <c r="J13">
        <v>1.2242615701639E-2</v>
      </c>
      <c r="K13">
        <v>1.17659649575509E-2</v>
      </c>
      <c r="L13">
        <v>2.8116882599193402E-4</v>
      </c>
      <c r="M13">
        <v>-4.2025099099846801E-2</v>
      </c>
      <c r="N13">
        <v>2.6652300636981902E-4</v>
      </c>
      <c r="O13">
        <v>0.99960095502328306</v>
      </c>
    </row>
    <row r="14" spans="1:15" x14ac:dyDescent="0.2">
      <c r="A14">
        <v>13</v>
      </c>
      <c r="B14" t="s">
        <v>31</v>
      </c>
      <c r="C14">
        <v>1.5835699999999999</v>
      </c>
      <c r="D14">
        <v>1.6304838821359899</v>
      </c>
      <c r="E14">
        <v>1.31058035900395</v>
      </c>
      <c r="F14">
        <v>0.31990352313204901</v>
      </c>
      <c r="G14">
        <v>12.786654800472499</v>
      </c>
      <c r="H14">
        <v>5.66091495378542E-3</v>
      </c>
      <c r="I14">
        <v>41.680874237432697</v>
      </c>
      <c r="J14">
        <v>1.65932009845342E-2</v>
      </c>
      <c r="K14">
        <v>2.3070020756378599E-2</v>
      </c>
      <c r="L14">
        <v>3.8909689730588201E-4</v>
      </c>
      <c r="M14">
        <v>-5.1379487757968502E-2</v>
      </c>
      <c r="N14">
        <v>3.6891420763401401E-4</v>
      </c>
      <c r="O14">
        <v>0.99927918151232398</v>
      </c>
    </row>
    <row r="15" spans="1:15" x14ac:dyDescent="0.2">
      <c r="A15">
        <v>14</v>
      </c>
      <c r="B15" t="s">
        <v>31</v>
      </c>
      <c r="C15">
        <v>1.5969100000000001</v>
      </c>
      <c r="D15">
        <v>1.6606457000399999</v>
      </c>
      <c r="E15">
        <v>1.3105806631291499</v>
      </c>
      <c r="F15">
        <v>0.35006503691084301</v>
      </c>
      <c r="G15">
        <v>13.0419040650326</v>
      </c>
      <c r="H15">
        <v>7.3348973196009498E-3</v>
      </c>
      <c r="I15">
        <v>41.040436023528997</v>
      </c>
      <c r="J15">
        <v>2.0840591648419698E-2</v>
      </c>
      <c r="K15">
        <v>3.93402081928661E-2</v>
      </c>
      <c r="L15">
        <v>5.0039111680676303E-4</v>
      </c>
      <c r="M15">
        <v>-6.49493369279453E-2</v>
      </c>
      <c r="N15">
        <v>4.7506658653232098E-4</v>
      </c>
      <c r="O15">
        <v>0.99886467983074501</v>
      </c>
    </row>
    <row r="16" spans="1:15" x14ac:dyDescent="0.2">
      <c r="A16">
        <v>15</v>
      </c>
      <c r="B16" t="s">
        <v>31</v>
      </c>
      <c r="C16">
        <v>1.6095699999999997</v>
      </c>
      <c r="D16">
        <v>1.690539398668</v>
      </c>
      <c r="E16">
        <v>1.3105744273928599</v>
      </c>
      <c r="F16">
        <v>0.37996497127513001</v>
      </c>
      <c r="G16">
        <v>13.2707836969601</v>
      </c>
      <c r="H16">
        <v>6.29774337245129E-3</v>
      </c>
      <c r="I16">
        <v>41.5233466494685</v>
      </c>
      <c r="J16">
        <v>1.7736961148143601E-2</v>
      </c>
      <c r="K16">
        <v>3.2264585501232297E-2</v>
      </c>
      <c r="L16">
        <v>4.3207721817490501E-4</v>
      </c>
      <c r="M16">
        <v>-5.8938151746786099E-2</v>
      </c>
      <c r="N16">
        <v>4.0979812436658101E-4</v>
      </c>
      <c r="O16">
        <v>0.99918339694449099</v>
      </c>
    </row>
    <row r="17" spans="1:15" x14ac:dyDescent="0.2">
      <c r="A17">
        <v>16</v>
      </c>
      <c r="B17" t="s">
        <v>31</v>
      </c>
      <c r="C17">
        <v>1.62121</v>
      </c>
      <c r="D17">
        <v>1.7207794629519999</v>
      </c>
      <c r="E17">
        <v>1.3105743555567699</v>
      </c>
      <c r="F17">
        <v>0.41020510739522198</v>
      </c>
      <c r="G17">
        <v>13.5424499073458</v>
      </c>
      <c r="H17">
        <v>7.5126871744682997E-3</v>
      </c>
      <c r="I17">
        <v>40.652092249872801</v>
      </c>
      <c r="J17">
        <v>2.0413802032701898E-2</v>
      </c>
      <c r="K17">
        <v>4.4982826570766597E-2</v>
      </c>
      <c r="L17">
        <v>5.1015771947006297E-4</v>
      </c>
      <c r="M17">
        <v>-6.9052713490116505E-2</v>
      </c>
      <c r="N17">
        <v>4.8473543520633302E-4</v>
      </c>
      <c r="O17">
        <v>0.99889959300061704</v>
      </c>
    </row>
    <row r="18" spans="1:15" x14ac:dyDescent="0.2">
      <c r="A18">
        <v>17</v>
      </c>
      <c r="B18" t="s">
        <v>31</v>
      </c>
      <c r="C18">
        <v>1.6321699999999999</v>
      </c>
      <c r="D18">
        <v>1.75067792056</v>
      </c>
      <c r="E18">
        <v>1.3105735922376101</v>
      </c>
      <c r="F18">
        <v>0.44010432832238799</v>
      </c>
      <c r="G18">
        <v>13.563132385767201</v>
      </c>
      <c r="H18">
        <v>7.8156437663480099E-3</v>
      </c>
      <c r="I18">
        <v>41.206570117652802</v>
      </c>
      <c r="J18">
        <v>2.1416607750281799E-2</v>
      </c>
      <c r="K18">
        <v>4.3581095677790699E-2</v>
      </c>
      <c r="L18">
        <v>5.3423351316947605E-4</v>
      </c>
      <c r="M18">
        <v>-6.7906831277586302E-2</v>
      </c>
      <c r="N18">
        <v>5.0702015402071898E-4</v>
      </c>
      <c r="O18">
        <v>0.99881585244175897</v>
      </c>
    </row>
    <row r="19" spans="1:15" x14ac:dyDescent="0.2">
      <c r="A19">
        <v>18</v>
      </c>
      <c r="B19" t="s">
        <v>31</v>
      </c>
      <c r="C19">
        <v>1.6424500000000002</v>
      </c>
      <c r="D19">
        <v>1.780537378</v>
      </c>
      <c r="E19">
        <v>1.31057326752737</v>
      </c>
      <c r="F19">
        <v>0.46996411047262399</v>
      </c>
      <c r="G19">
        <v>13.8129849604095</v>
      </c>
      <c r="H19">
        <v>8.52346607739142E-3</v>
      </c>
      <c r="I19">
        <v>40.466697263384198</v>
      </c>
      <c r="J19">
        <v>2.2630715160904698E-2</v>
      </c>
      <c r="K19">
        <v>5.19940733017802E-2</v>
      </c>
      <c r="L19">
        <v>5.7750896383478197E-4</v>
      </c>
      <c r="M19">
        <v>-7.4225582297711395E-2</v>
      </c>
      <c r="N19">
        <v>5.4894668097261101E-4</v>
      </c>
      <c r="O19">
        <v>0.99865129803055797</v>
      </c>
    </row>
    <row r="20" spans="1:15" x14ac:dyDescent="0.2">
      <c r="A20">
        <v>19</v>
      </c>
      <c r="B20" t="s">
        <v>31</v>
      </c>
      <c r="C20">
        <v>1.65205</v>
      </c>
      <c r="D20">
        <v>1.8107376172</v>
      </c>
      <c r="E20">
        <v>1.3105832788079399</v>
      </c>
      <c r="F20">
        <v>0.50015433839205903</v>
      </c>
      <c r="G20">
        <v>13.9343299578652</v>
      </c>
      <c r="H20">
        <v>6.6562955573939899E-3</v>
      </c>
      <c r="I20">
        <v>41.049490071912601</v>
      </c>
      <c r="J20">
        <v>1.7704100953693899E-2</v>
      </c>
      <c r="K20">
        <v>4.1973663085376603E-2</v>
      </c>
      <c r="L20">
        <v>4.5414510027992302E-4</v>
      </c>
      <c r="M20">
        <v>-6.7072828547445298E-2</v>
      </c>
      <c r="N20">
        <v>4.3115287854641403E-4</v>
      </c>
      <c r="O20">
        <v>0.99918068622383105</v>
      </c>
    </row>
    <row r="21" spans="1:15" x14ac:dyDescent="0.2">
      <c r="A21">
        <v>20</v>
      </c>
      <c r="B21" t="s">
        <v>31</v>
      </c>
      <c r="C21">
        <v>1.6614800000000001</v>
      </c>
      <c r="D21">
        <v>1.8406373607199999</v>
      </c>
      <c r="E21">
        <v>1.31057853566578</v>
      </c>
      <c r="F21">
        <v>0.53005882505421698</v>
      </c>
      <c r="G21">
        <v>13.9880249259003</v>
      </c>
      <c r="H21">
        <v>6.9230780302049696E-3</v>
      </c>
      <c r="I21">
        <v>41.179619428339301</v>
      </c>
      <c r="J21">
        <v>1.8385691959456298E-2</v>
      </c>
      <c r="K21">
        <v>4.2730101641376597E-2</v>
      </c>
      <c r="L21">
        <v>4.73072692321439E-4</v>
      </c>
      <c r="M21">
        <v>-6.74316557972197E-2</v>
      </c>
      <c r="N21">
        <v>4.4900004740904502E-4</v>
      </c>
      <c r="O21">
        <v>0.99912254761281805</v>
      </c>
    </row>
    <row r="22" spans="1:15" x14ac:dyDescent="0.2">
      <c r="A22">
        <v>21</v>
      </c>
      <c r="B22" t="s">
        <v>31</v>
      </c>
      <c r="C22">
        <v>1.6702300000000001</v>
      </c>
      <c r="D22">
        <v>1.87054119856</v>
      </c>
      <c r="E22">
        <v>1.3105736781919</v>
      </c>
      <c r="F22">
        <v>0.55996752036809005</v>
      </c>
      <c r="G22">
        <v>14.1085946214318</v>
      </c>
      <c r="H22">
        <v>9.5048385509327697E-3</v>
      </c>
      <c r="I22">
        <v>40.214524447208802</v>
      </c>
      <c r="J22">
        <v>2.4594619510349199E-2</v>
      </c>
      <c r="K22">
        <v>6.0566634254204998E-2</v>
      </c>
      <c r="L22">
        <v>6.4204147981860801E-4</v>
      </c>
      <c r="M22">
        <v>-8.1741049831014795E-2</v>
      </c>
      <c r="N22">
        <v>6.1061689424469004E-4</v>
      </c>
      <c r="O22">
        <v>0.99840985353879597</v>
      </c>
    </row>
    <row r="23" spans="1:15" x14ac:dyDescent="0.2">
      <c r="A23">
        <v>22</v>
      </c>
      <c r="B23" t="s">
        <v>31</v>
      </c>
      <c r="C23">
        <v>1.6786399999999997</v>
      </c>
      <c r="D23">
        <v>1.9006861501600001</v>
      </c>
      <c r="E23">
        <v>1.3105716811550501</v>
      </c>
      <c r="F23">
        <v>0.59011446900494202</v>
      </c>
      <c r="G23">
        <v>14.2091479293513</v>
      </c>
      <c r="H23">
        <v>8.8854564819849293E-3</v>
      </c>
      <c r="I23">
        <v>40.337591715521597</v>
      </c>
      <c r="J23">
        <v>2.2880400991766602E-2</v>
      </c>
      <c r="K23">
        <v>5.80515941341576E-2</v>
      </c>
      <c r="L23">
        <v>6.0109851748140495E-4</v>
      </c>
      <c r="M23">
        <v>-7.9605850140376994E-2</v>
      </c>
      <c r="N23">
        <v>5.7152709248995304E-4</v>
      </c>
      <c r="O23">
        <v>0.99862421140735702</v>
      </c>
    </row>
    <row r="24" spans="1:15" x14ac:dyDescent="0.2">
      <c r="A24">
        <v>23</v>
      </c>
      <c r="B24" t="s">
        <v>31</v>
      </c>
      <c r="C24">
        <v>1.6870500000000002</v>
      </c>
      <c r="D24">
        <v>1.93059353707999</v>
      </c>
      <c r="E24">
        <v>1.31058069569628</v>
      </c>
      <c r="F24">
        <v>0.62001284138371504</v>
      </c>
      <c r="G24">
        <v>14.125847344197201</v>
      </c>
      <c r="H24">
        <v>9.6715363686445798E-3</v>
      </c>
      <c r="I24">
        <v>40.8081730643245</v>
      </c>
      <c r="J24">
        <v>2.5265515693613801E-2</v>
      </c>
      <c r="K24">
        <v>5.8696496862859701E-2</v>
      </c>
      <c r="L24">
        <v>6.5798199202935002E-4</v>
      </c>
      <c r="M24">
        <v>-8.0427494207183994E-2</v>
      </c>
      <c r="N24">
        <v>6.2498698828338797E-4</v>
      </c>
      <c r="O24">
        <v>0.9983612327343</v>
      </c>
    </row>
    <row r="25" spans="1:15" x14ac:dyDescent="0.2">
      <c r="A25">
        <v>24</v>
      </c>
      <c r="B25" t="s">
        <v>31</v>
      </c>
      <c r="C25">
        <v>1.69495</v>
      </c>
      <c r="D25">
        <v>1.9608120357199901</v>
      </c>
      <c r="E25">
        <v>1.3105755020887599</v>
      </c>
      <c r="F25">
        <v>0.65023653363123202</v>
      </c>
      <c r="G25">
        <v>14.1729514924646</v>
      </c>
      <c r="H25">
        <v>9.8027181356023698E-3</v>
      </c>
      <c r="I25">
        <v>40.896002735756099</v>
      </c>
      <c r="J25">
        <v>2.5563873984089099E-2</v>
      </c>
      <c r="K25">
        <v>5.9256204882384797E-2</v>
      </c>
      <c r="L25">
        <v>6.6759541105656096E-4</v>
      </c>
      <c r="M25">
        <v>-8.1416490483733006E-2</v>
      </c>
      <c r="N25">
        <v>6.3397709846702596E-4</v>
      </c>
      <c r="O25">
        <v>0.99832989034077102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75199-5ABE-3D49-913A-B57253F1839F}">
  <dimension ref="A1:O25"/>
  <sheetViews>
    <sheetView workbookViewId="0">
      <selection activeCell="D10" sqref="D10"/>
    </sheetView>
  </sheetViews>
  <sheetFormatPr baseColWidth="10" defaultRowHeight="16" x14ac:dyDescent="0.2"/>
  <cols>
    <col min="1" max="1" width="4.6640625" bestFit="1" customWidth="1"/>
    <col min="2" max="2" width="8.1640625" bestFit="1" customWidth="1"/>
    <col min="3" max="3" width="8.1640625" customWidth="1"/>
    <col min="4" max="12" width="12.1640625" bestFit="1" customWidth="1"/>
    <col min="13" max="13" width="12.83203125" bestFit="1" customWidth="1"/>
    <col min="14" max="15" width="12.1640625" bestFit="1" customWidth="1"/>
  </cols>
  <sheetData>
    <row r="1" spans="1:15" x14ac:dyDescent="0.2">
      <c r="A1" t="s">
        <v>17</v>
      </c>
      <c r="B1" t="s">
        <v>18</v>
      </c>
      <c r="C1" t="s">
        <v>32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</row>
    <row r="2" spans="1:15" x14ac:dyDescent="0.2">
      <c r="A2">
        <v>1</v>
      </c>
      <c r="B2" t="s">
        <v>31</v>
      </c>
      <c r="C2">
        <v>1.3796349999999999</v>
      </c>
      <c r="D2">
        <v>1.3805274727258099</v>
      </c>
      <c r="E2">
        <v>1.31056645044202</v>
      </c>
      <c r="F2">
        <v>6.9961022283797095E-2</v>
      </c>
      <c r="G2">
        <v>6.4170708666787002</v>
      </c>
      <c r="H2">
        <v>2.5696689807538902E-3</v>
      </c>
      <c r="I2">
        <v>18.4977535917225</v>
      </c>
      <c r="J2">
        <v>8.1736186044945799E-3</v>
      </c>
      <c r="K2">
        <v>1.05644698438653E-2</v>
      </c>
      <c r="L2">
        <v>1.11761498887336E-4</v>
      </c>
      <c r="M2">
        <v>-2.8149585904683999E-2</v>
      </c>
      <c r="N2">
        <v>1.14023281221973E-4</v>
      </c>
      <c r="O2">
        <v>0.99919448461464699</v>
      </c>
    </row>
    <row r="3" spans="1:15" x14ac:dyDescent="0.2">
      <c r="A3">
        <v>2</v>
      </c>
      <c r="B3" t="s">
        <v>31</v>
      </c>
      <c r="C3">
        <v>1.396611</v>
      </c>
      <c r="D3">
        <v>1.4006077621519999</v>
      </c>
      <c r="E3">
        <v>1.3105662661763</v>
      </c>
      <c r="F3">
        <v>9.0041495975691402E-2</v>
      </c>
      <c r="G3">
        <v>8.0603513445803792</v>
      </c>
      <c r="H3">
        <v>2.75381686054204E-3</v>
      </c>
      <c r="I3">
        <v>19.2882702108672</v>
      </c>
      <c r="J3">
        <v>7.2109850178674701E-3</v>
      </c>
      <c r="K3">
        <v>1.4546357169632601E-2</v>
      </c>
      <c r="L3">
        <v>1.23143572058754E-4</v>
      </c>
      <c r="M3">
        <v>-3.1110259710483399E-2</v>
      </c>
      <c r="N3">
        <v>1.2515256539092501E-4</v>
      </c>
      <c r="O3">
        <v>0.99942377679010597</v>
      </c>
    </row>
    <row r="4" spans="1:15" x14ac:dyDescent="0.2">
      <c r="A4">
        <v>3</v>
      </c>
      <c r="B4" t="s">
        <v>31</v>
      </c>
      <c r="C4">
        <v>1.4099749999999998</v>
      </c>
      <c r="D4">
        <v>1.4206116631400001</v>
      </c>
      <c r="E4">
        <v>1.31057343555727</v>
      </c>
      <c r="F4">
        <v>0.110038227582722</v>
      </c>
      <c r="G4">
        <v>9.2956905562435992</v>
      </c>
      <c r="H4">
        <v>3.1913962778468302E-3</v>
      </c>
      <c r="I4">
        <v>20.348161790192901</v>
      </c>
      <c r="J4">
        <v>7.5587038025216897E-3</v>
      </c>
      <c r="K4">
        <v>1.9427265836750099E-2</v>
      </c>
      <c r="L4">
        <v>1.4774494471060201E-4</v>
      </c>
      <c r="M4">
        <v>-3.4946013023217197E-2</v>
      </c>
      <c r="N4">
        <v>1.4941747301108101E-4</v>
      </c>
      <c r="O4">
        <v>0.99943313889164198</v>
      </c>
    </row>
    <row r="5" spans="1:15" x14ac:dyDescent="0.2">
      <c r="A5">
        <v>4</v>
      </c>
      <c r="B5" t="s">
        <v>31</v>
      </c>
      <c r="C5">
        <v>1.4196849999999999</v>
      </c>
      <c r="D5">
        <v>1.440674986528</v>
      </c>
      <c r="E5">
        <v>1.3105710369313399</v>
      </c>
      <c r="F5">
        <v>0.130103949596653</v>
      </c>
      <c r="G5">
        <v>10.063551836688299</v>
      </c>
      <c r="H5">
        <v>3.91416089467114E-3</v>
      </c>
      <c r="I5">
        <v>21.570748010921601</v>
      </c>
      <c r="J5">
        <v>8.96064692248426E-3</v>
      </c>
      <c r="K5">
        <v>2.78945340708627E-2</v>
      </c>
      <c r="L5">
        <v>1.8799679919013701E-4</v>
      </c>
      <c r="M5">
        <v>-4.0963044747155598E-2</v>
      </c>
      <c r="N5">
        <v>1.8910664140335399E-4</v>
      </c>
      <c r="O5">
        <v>0.99930223445107302</v>
      </c>
    </row>
    <row r="6" spans="1:15" x14ac:dyDescent="0.2">
      <c r="A6">
        <v>5</v>
      </c>
      <c r="B6" t="s">
        <v>31</v>
      </c>
      <c r="C6">
        <v>1.4267699999999999</v>
      </c>
      <c r="D6">
        <v>1.460685354812</v>
      </c>
      <c r="E6">
        <v>1.31057643560027</v>
      </c>
      <c r="F6">
        <v>0.15010891921172001</v>
      </c>
      <c r="G6">
        <v>10.538476575463701</v>
      </c>
      <c r="H6">
        <v>4.4349997826100603E-3</v>
      </c>
      <c r="I6">
        <v>22.805470408917898</v>
      </c>
      <c r="J6">
        <v>1.01182723813538E-2</v>
      </c>
      <c r="K6">
        <v>3.58678170401188E-2</v>
      </c>
      <c r="L6">
        <v>2.2041649372358599E-4</v>
      </c>
      <c r="M6">
        <v>-4.7152550753682902E-2</v>
      </c>
      <c r="N6">
        <v>2.2058587635639701E-4</v>
      </c>
      <c r="O6">
        <v>0.99921429335698997</v>
      </c>
    </row>
    <row r="7" spans="1:15" x14ac:dyDescent="0.2">
      <c r="A7">
        <v>6</v>
      </c>
      <c r="B7" t="s">
        <v>31</v>
      </c>
      <c r="C7">
        <v>1.4324899999999998</v>
      </c>
      <c r="D7">
        <v>1.480425008756</v>
      </c>
      <c r="E7">
        <v>1.31056724249962</v>
      </c>
      <c r="F7">
        <v>0.169857766256375</v>
      </c>
      <c r="G7">
        <v>10.7812410246315</v>
      </c>
      <c r="H7">
        <v>5.3303793462996796E-3</v>
      </c>
      <c r="I7">
        <v>24.233698564391901</v>
      </c>
      <c r="J7">
        <v>1.2446773710571001E-2</v>
      </c>
      <c r="K7">
        <v>4.4912051043708497E-2</v>
      </c>
      <c r="L7">
        <v>2.7471105400259902E-4</v>
      </c>
      <c r="M7">
        <v>-5.3114925406026803E-2</v>
      </c>
      <c r="N7">
        <v>2.7339372978540298E-4</v>
      </c>
      <c r="O7">
        <v>0.998962862941704</v>
      </c>
    </row>
    <row r="8" spans="1:15" x14ac:dyDescent="0.2">
      <c r="A8">
        <v>7</v>
      </c>
      <c r="B8" t="s">
        <v>31</v>
      </c>
      <c r="C8">
        <v>1.4367399999999999</v>
      </c>
      <c r="D8">
        <v>1.5004114487319999</v>
      </c>
      <c r="E8">
        <v>1.3105691451427499</v>
      </c>
      <c r="F8">
        <v>0.18984230358924301</v>
      </c>
      <c r="G8">
        <v>10.9415216496025</v>
      </c>
      <c r="H8">
        <v>5.8963887041356602E-3</v>
      </c>
      <c r="I8">
        <v>25.614553743316801</v>
      </c>
      <c r="J8">
        <v>1.41416478177967E-2</v>
      </c>
      <c r="K8">
        <v>5.2292615996368301E-2</v>
      </c>
      <c r="L8">
        <v>3.1385116351220998E-4</v>
      </c>
      <c r="M8">
        <v>-5.8180715461894697E-2</v>
      </c>
      <c r="N8">
        <v>3.10765650480654E-4</v>
      </c>
      <c r="O8">
        <v>0.99881332142566503</v>
      </c>
    </row>
    <row r="9" spans="1:15" x14ac:dyDescent="0.2">
      <c r="A9">
        <v>8</v>
      </c>
      <c r="B9" t="s">
        <v>31</v>
      </c>
      <c r="C9">
        <v>1.4402549999999998</v>
      </c>
      <c r="D9">
        <v>1.52045067817999</v>
      </c>
      <c r="E9">
        <v>1.3105730661602999</v>
      </c>
      <c r="F9">
        <v>0.20987761201969099</v>
      </c>
      <c r="G9">
        <v>11.0202284194781</v>
      </c>
      <c r="H9">
        <v>6.4328799357007398E-3</v>
      </c>
      <c r="I9">
        <v>26.964062190325201</v>
      </c>
      <c r="J9">
        <v>1.59133395328016E-2</v>
      </c>
      <c r="K9">
        <v>6.0498531577232E-2</v>
      </c>
      <c r="L9">
        <v>3.5256522100353302E-4</v>
      </c>
      <c r="M9">
        <v>-6.3916306466979295E-2</v>
      </c>
      <c r="N9">
        <v>3.4746719853938801E-4</v>
      </c>
      <c r="O9">
        <v>0.99866055679050802</v>
      </c>
    </row>
    <row r="10" spans="1:15" x14ac:dyDescent="0.2">
      <c r="A10">
        <v>9</v>
      </c>
      <c r="B10" t="s">
        <v>31</v>
      </c>
      <c r="C10">
        <v>1.4430349999999998</v>
      </c>
      <c r="D10">
        <v>1.540454321128</v>
      </c>
      <c r="E10">
        <v>1.3105679204860201</v>
      </c>
      <c r="F10">
        <v>0.22988640064197499</v>
      </c>
      <c r="G10">
        <v>11.080157494895101</v>
      </c>
      <c r="H10">
        <v>6.72675929330201E-3</v>
      </c>
      <c r="I10">
        <v>28.233594975852501</v>
      </c>
      <c r="J10">
        <v>1.7121507413576299E-2</v>
      </c>
      <c r="K10">
        <v>6.6506218845571896E-2</v>
      </c>
      <c r="L10">
        <v>3.7825964025358603E-4</v>
      </c>
      <c r="M10">
        <v>-6.7766155232417497E-2</v>
      </c>
      <c r="N10">
        <v>3.7123357429438901E-4</v>
      </c>
      <c r="O10">
        <v>0.99859477964556698</v>
      </c>
    </row>
    <row r="11" spans="1:15" x14ac:dyDescent="0.2">
      <c r="A11">
        <v>10</v>
      </c>
      <c r="B11" t="s">
        <v>31</v>
      </c>
      <c r="C11">
        <v>1.445605</v>
      </c>
      <c r="D11">
        <v>1.5604842589879999</v>
      </c>
      <c r="E11">
        <v>1.3105804200440001</v>
      </c>
      <c r="F11">
        <v>0.24990383894399701</v>
      </c>
      <c r="G11">
        <v>11.1017464242763</v>
      </c>
      <c r="H11">
        <v>7.0177931035570497E-3</v>
      </c>
      <c r="I11">
        <v>29.612375106108999</v>
      </c>
      <c r="J11">
        <v>1.8462186154032199E-2</v>
      </c>
      <c r="K11">
        <v>7.22343044681487E-2</v>
      </c>
      <c r="L11">
        <v>4.05065768432968E-4</v>
      </c>
      <c r="M11">
        <v>-7.1951831745623293E-2</v>
      </c>
      <c r="N11">
        <v>3.9582850781805901E-4</v>
      </c>
      <c r="O11">
        <v>0.99852236437092101</v>
      </c>
    </row>
    <row r="12" spans="1:15" x14ac:dyDescent="0.2">
      <c r="A12">
        <v>11</v>
      </c>
      <c r="B12" t="s">
        <v>31</v>
      </c>
      <c r="C12">
        <v>1.4477549999999999</v>
      </c>
      <c r="D12">
        <v>1.5804932241959999</v>
      </c>
      <c r="E12">
        <v>1.3105660008745399</v>
      </c>
      <c r="F12">
        <v>0.26992722332145602</v>
      </c>
      <c r="G12">
        <v>11.141868896733101</v>
      </c>
      <c r="H12">
        <v>7.2511246553153301E-3</v>
      </c>
      <c r="I12">
        <v>30.8568865490445</v>
      </c>
      <c r="J12">
        <v>1.9587900309187799E-2</v>
      </c>
      <c r="K12">
        <v>7.5951947636566403E-2</v>
      </c>
      <c r="L12">
        <v>4.27912628534418E-4</v>
      </c>
      <c r="M12">
        <v>-7.3478124292953598E-2</v>
      </c>
      <c r="N12">
        <v>4.1660462045371098E-4</v>
      </c>
      <c r="O12">
        <v>0.99846894105863704</v>
      </c>
    </row>
    <row r="13" spans="1:15" x14ac:dyDescent="0.2">
      <c r="A13">
        <v>12</v>
      </c>
      <c r="B13" t="s">
        <v>31</v>
      </c>
      <c r="C13">
        <v>1.4495899999999999</v>
      </c>
      <c r="D13">
        <v>1.60056320447199</v>
      </c>
      <c r="E13">
        <v>1.3105708793764601</v>
      </c>
      <c r="F13">
        <v>0.28999232509553002</v>
      </c>
      <c r="G13">
        <v>11.075197874543701</v>
      </c>
      <c r="H13">
        <v>7.5976548750763401E-3</v>
      </c>
      <c r="I13">
        <v>32.715156852233001</v>
      </c>
      <c r="J13">
        <v>2.1546456750161098E-2</v>
      </c>
      <c r="K13">
        <v>8.2219375044418702E-2</v>
      </c>
      <c r="L13">
        <v>4.6243319345103101E-4</v>
      </c>
      <c r="M13">
        <v>-7.6973948895107405E-2</v>
      </c>
      <c r="N13">
        <v>4.4785776449578001E-4</v>
      </c>
      <c r="O13">
        <v>0.99835958566637495</v>
      </c>
    </row>
    <row r="14" spans="1:15" x14ac:dyDescent="0.2">
      <c r="A14">
        <v>13</v>
      </c>
      <c r="B14" t="s">
        <v>31</v>
      </c>
      <c r="C14">
        <v>1.451975</v>
      </c>
      <c r="D14">
        <v>1.630448757376</v>
      </c>
      <c r="E14">
        <v>1.3105660349817401</v>
      </c>
      <c r="F14">
        <v>0.31988272239425097</v>
      </c>
      <c r="G14">
        <v>11.2126779955556</v>
      </c>
      <c r="H14">
        <v>7.3277492401317198E-3</v>
      </c>
      <c r="I14">
        <v>34.004186249427804</v>
      </c>
      <c r="J14">
        <v>2.1111573925035401E-2</v>
      </c>
      <c r="K14">
        <v>8.2959182693084499E-2</v>
      </c>
      <c r="L14">
        <v>4.5504468429547802E-4</v>
      </c>
      <c r="M14">
        <v>-7.6382817130782502E-2</v>
      </c>
      <c r="N14">
        <v>4.3918659492824598E-4</v>
      </c>
      <c r="O14">
        <v>0.99852962515507304</v>
      </c>
    </row>
    <row r="15" spans="1:15" x14ac:dyDescent="0.2">
      <c r="A15">
        <v>14</v>
      </c>
      <c r="B15" t="s">
        <v>31</v>
      </c>
      <c r="C15">
        <v>1.4541500000000001</v>
      </c>
      <c r="D15">
        <v>1.660619577124</v>
      </c>
      <c r="E15">
        <v>1.31056593701335</v>
      </c>
      <c r="F15">
        <v>0.35005364011064899</v>
      </c>
      <c r="G15">
        <v>11.185755503392199</v>
      </c>
      <c r="H15">
        <v>7.50082830372304E-3</v>
      </c>
      <c r="I15">
        <v>36.307603031163602</v>
      </c>
      <c r="J15">
        <v>2.2720343114455401E-2</v>
      </c>
      <c r="K15">
        <v>8.6541512342697899E-2</v>
      </c>
      <c r="L15">
        <v>4.8162363300430097E-4</v>
      </c>
      <c r="M15">
        <v>-7.84300739605788E-2</v>
      </c>
      <c r="N15">
        <v>4.6215167127574999E-4</v>
      </c>
      <c r="O15">
        <v>0.998499385662039</v>
      </c>
    </row>
    <row r="16" spans="1:15" x14ac:dyDescent="0.2">
      <c r="A16">
        <v>15</v>
      </c>
      <c r="B16" t="s">
        <v>31</v>
      </c>
      <c r="C16">
        <v>1.4551699999999999</v>
      </c>
      <c r="D16">
        <v>1.6905115127400001</v>
      </c>
      <c r="E16">
        <v>1.3105771372688599</v>
      </c>
      <c r="F16">
        <v>0.37993437547113601</v>
      </c>
      <c r="G16">
        <v>11.3036383478955</v>
      </c>
      <c r="H16">
        <v>7.2752698770001201E-3</v>
      </c>
      <c r="I16">
        <v>37.951238370330401</v>
      </c>
      <c r="J16">
        <v>2.2522451797909199E-2</v>
      </c>
      <c r="K16">
        <v>8.8005193775509999E-2</v>
      </c>
      <c r="L16">
        <v>4.77611652436987E-4</v>
      </c>
      <c r="M16">
        <v>-7.8850096957871305E-2</v>
      </c>
      <c r="N16">
        <v>4.5652619377502599E-4</v>
      </c>
      <c r="O16">
        <v>0.99863978939167697</v>
      </c>
    </row>
    <row r="17" spans="1:15" x14ac:dyDescent="0.2">
      <c r="A17">
        <v>16</v>
      </c>
      <c r="B17" t="s">
        <v>31</v>
      </c>
      <c r="C17">
        <v>1.455875</v>
      </c>
      <c r="D17">
        <v>1.7207585939600001</v>
      </c>
      <c r="E17">
        <v>1.31056574100805</v>
      </c>
      <c r="F17">
        <v>0.41019285295194902</v>
      </c>
      <c r="G17">
        <v>11.3179746140405</v>
      </c>
      <c r="H17">
        <v>7.2215494087329701E-3</v>
      </c>
      <c r="I17">
        <v>39.875606560943503</v>
      </c>
      <c r="J17">
        <v>2.3149827688749802E-2</v>
      </c>
      <c r="K17">
        <v>9.23046720366794E-2</v>
      </c>
      <c r="L17">
        <v>4.85793756555448E-4</v>
      </c>
      <c r="M17">
        <v>-7.99751014463949E-2</v>
      </c>
      <c r="N17">
        <v>4.6235478322094399E-4</v>
      </c>
      <c r="O17">
        <v>0.99869703925393905</v>
      </c>
    </row>
    <row r="18" spans="1:15" x14ac:dyDescent="0.2">
      <c r="A18">
        <v>17</v>
      </c>
      <c r="B18" t="s">
        <v>31</v>
      </c>
      <c r="C18">
        <v>1.457525</v>
      </c>
      <c r="D18">
        <v>1.7506519147199899</v>
      </c>
      <c r="E18">
        <v>1.3105617272518599</v>
      </c>
      <c r="F18">
        <v>0.440090187468137</v>
      </c>
      <c r="G18">
        <v>11.3918361365763</v>
      </c>
      <c r="H18">
        <v>6.9289554241590001E-3</v>
      </c>
      <c r="I18">
        <v>41.534995173765303</v>
      </c>
      <c r="J18">
        <v>2.2738114636495901E-2</v>
      </c>
      <c r="K18">
        <v>9.1488326255460398E-2</v>
      </c>
      <c r="L18">
        <v>4.75448056017896E-4</v>
      </c>
      <c r="M18">
        <v>-7.7579546859812401E-2</v>
      </c>
      <c r="N18">
        <v>4.5092179437745798E-4</v>
      </c>
      <c r="O18">
        <v>0.99882843479549299</v>
      </c>
    </row>
    <row r="19" spans="1:15" x14ac:dyDescent="0.2">
      <c r="A19">
        <v>18</v>
      </c>
      <c r="B19" t="s">
        <v>31</v>
      </c>
      <c r="C19">
        <v>1.4602250000000001</v>
      </c>
      <c r="D19">
        <v>1.7805194549599901</v>
      </c>
      <c r="E19">
        <v>1.31056412141657</v>
      </c>
      <c r="F19">
        <v>0.469955333543429</v>
      </c>
      <c r="G19">
        <v>11.3919379789124</v>
      </c>
      <c r="H19">
        <v>6.7627445375636804E-3</v>
      </c>
      <c r="I19">
        <v>43.856526827840703</v>
      </c>
      <c r="J19">
        <v>2.31013103610196E-2</v>
      </c>
      <c r="K19">
        <v>8.9954701332740805E-2</v>
      </c>
      <c r="L19">
        <v>4.7630896941029303E-4</v>
      </c>
      <c r="M19">
        <v>-7.43767353020858E-2</v>
      </c>
      <c r="N19">
        <v>4.4964914235741301E-4</v>
      </c>
      <c r="O19">
        <v>0.998900458724441</v>
      </c>
    </row>
    <row r="20" spans="1:15" x14ac:dyDescent="0.2">
      <c r="A20">
        <v>19</v>
      </c>
      <c r="B20" t="s">
        <v>31</v>
      </c>
      <c r="C20">
        <v>1.4608249999999998</v>
      </c>
      <c r="D20">
        <v>1.81071085319999</v>
      </c>
      <c r="E20">
        <v>1.3105658414460699</v>
      </c>
      <c r="F20">
        <v>0.500145011753927</v>
      </c>
      <c r="G20">
        <v>11.4445226793788</v>
      </c>
      <c r="H20">
        <v>6.6251417772457697E-3</v>
      </c>
      <c r="I20">
        <v>45.435837846566798</v>
      </c>
      <c r="J20">
        <v>2.3127033369167199E-2</v>
      </c>
      <c r="K20">
        <v>9.0743383177234793E-2</v>
      </c>
      <c r="L20">
        <v>4.7450188427719401E-4</v>
      </c>
      <c r="M20">
        <v>-7.3040580011219103E-2</v>
      </c>
      <c r="N20">
        <v>4.4660924337448299E-4</v>
      </c>
      <c r="O20">
        <v>0.99896717105787702</v>
      </c>
    </row>
    <row r="21" spans="1:15" x14ac:dyDescent="0.2">
      <c r="A21">
        <v>20</v>
      </c>
      <c r="B21" t="s">
        <v>31</v>
      </c>
      <c r="C21">
        <v>1.4613200000000002</v>
      </c>
      <c r="D21">
        <v>1.84061738723999</v>
      </c>
      <c r="E21">
        <v>1.31057045072753</v>
      </c>
      <c r="F21">
        <v>0.53004693651246304</v>
      </c>
      <c r="G21">
        <v>11.524000438609001</v>
      </c>
      <c r="H21">
        <v>6.6208381149847201E-3</v>
      </c>
      <c r="I21">
        <v>47.119532620918498</v>
      </c>
      <c r="J21">
        <v>2.3585176602184801E-2</v>
      </c>
      <c r="K21">
        <v>9.0210033579641899E-2</v>
      </c>
      <c r="L21">
        <v>4.82355563979652E-4</v>
      </c>
      <c r="M21">
        <v>-7.16140829760505E-2</v>
      </c>
      <c r="N21">
        <v>4.5262390027720601E-4</v>
      </c>
      <c r="O21">
        <v>0.99899227679360603</v>
      </c>
    </row>
    <row r="22" spans="1:15" x14ac:dyDescent="0.2">
      <c r="A22">
        <v>21</v>
      </c>
      <c r="B22" t="s">
        <v>31</v>
      </c>
      <c r="C22">
        <v>1.46255</v>
      </c>
      <c r="D22">
        <v>1.87049494615999</v>
      </c>
      <c r="E22">
        <v>1.3105661154077699</v>
      </c>
      <c r="F22">
        <v>0.55992883075222899</v>
      </c>
      <c r="G22">
        <v>11.592435645316799</v>
      </c>
      <c r="H22">
        <v>6.3534080782116703E-3</v>
      </c>
      <c r="I22">
        <v>48.597703046395701</v>
      </c>
      <c r="J22">
        <v>2.3027526343255701E-2</v>
      </c>
      <c r="K22">
        <v>9.1741417602088704E-2</v>
      </c>
      <c r="L22">
        <v>4.6956644092761997E-4</v>
      </c>
      <c r="M22">
        <v>-7.0607747851320596E-2</v>
      </c>
      <c r="N22">
        <v>4.3949877168721502E-4</v>
      </c>
      <c r="O22">
        <v>0.99909354134591</v>
      </c>
    </row>
    <row r="23" spans="1:15" x14ac:dyDescent="0.2">
      <c r="A23">
        <v>22</v>
      </c>
      <c r="B23" t="s">
        <v>31</v>
      </c>
      <c r="C23">
        <v>1.4641999999999997</v>
      </c>
      <c r="D23">
        <v>1.9006496133199999</v>
      </c>
      <c r="E23">
        <v>1.3105700594874701</v>
      </c>
      <c r="F23">
        <v>0.59007955383252497</v>
      </c>
      <c r="G23">
        <v>11.692827666384</v>
      </c>
      <c r="H23">
        <v>6.1712449253752298E-3</v>
      </c>
      <c r="I23">
        <v>49.4644145535758</v>
      </c>
      <c r="J23">
        <v>2.24733951726175E-2</v>
      </c>
      <c r="K23">
        <v>8.7885595075399198E-2</v>
      </c>
      <c r="L23">
        <v>4.5984302840959302E-4</v>
      </c>
      <c r="M23">
        <v>-6.6016543226289096E-2</v>
      </c>
      <c r="N23">
        <v>4.29773682457216E-4</v>
      </c>
      <c r="O23">
        <v>0.99915672497353702</v>
      </c>
    </row>
    <row r="24" spans="1:15" x14ac:dyDescent="0.2">
      <c r="A24">
        <v>23</v>
      </c>
      <c r="B24" t="s">
        <v>31</v>
      </c>
      <c r="C24">
        <v>1.470575</v>
      </c>
      <c r="D24">
        <v>1.93054485824</v>
      </c>
      <c r="E24">
        <v>1.3105665345172199</v>
      </c>
      <c r="F24">
        <v>0.61997832372277395</v>
      </c>
      <c r="G24">
        <v>11.665829816537499</v>
      </c>
      <c r="H24">
        <v>5.8960758500549697E-3</v>
      </c>
      <c r="I24">
        <v>51.609066525014697</v>
      </c>
      <c r="J24">
        <v>2.2226985826264398E-2</v>
      </c>
      <c r="K24">
        <v>8.1137824731640301E-2</v>
      </c>
      <c r="L24">
        <v>4.4797258879843399E-4</v>
      </c>
      <c r="M24">
        <v>-5.89202826048391E-2</v>
      </c>
      <c r="N24">
        <v>4.1723656546544002E-4</v>
      </c>
      <c r="O24">
        <v>0.99922754673389302</v>
      </c>
    </row>
    <row r="25" spans="1:15" x14ac:dyDescent="0.2">
      <c r="A25">
        <v>24</v>
      </c>
      <c r="B25" t="s">
        <v>31</v>
      </c>
      <c r="C25">
        <v>1.4769499999999998</v>
      </c>
      <c r="D25">
        <v>1.9607617042000001</v>
      </c>
      <c r="E25">
        <v>1.3105623046569399</v>
      </c>
      <c r="F25">
        <v>0.65019939954305905</v>
      </c>
      <c r="G25">
        <v>11.5698648399137</v>
      </c>
      <c r="H25">
        <v>5.9273771809249601E-3</v>
      </c>
      <c r="I25">
        <v>54.1012384915769</v>
      </c>
      <c r="J25">
        <v>2.33622960454162E-2</v>
      </c>
      <c r="K25">
        <v>7.4088035213424094E-2</v>
      </c>
      <c r="L25">
        <v>4.6008257884101701E-4</v>
      </c>
      <c r="M25">
        <v>-5.1936021665705899E-2</v>
      </c>
      <c r="N25">
        <v>4.2688377823553501E-4</v>
      </c>
      <c r="O25">
        <v>0.99920848563842701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118F6-C9A3-534F-B47D-8CF4238D326C}">
  <dimension ref="A1:O26"/>
  <sheetViews>
    <sheetView workbookViewId="0">
      <selection activeCell="C2" sqref="C2"/>
    </sheetView>
  </sheetViews>
  <sheetFormatPr baseColWidth="10" defaultRowHeight="16" x14ac:dyDescent="0.2"/>
  <cols>
    <col min="1" max="1" width="4.6640625" bestFit="1" customWidth="1"/>
    <col min="2" max="2" width="8.1640625" bestFit="1" customWidth="1"/>
    <col min="3" max="3" width="8.1640625" customWidth="1"/>
    <col min="4" max="12" width="12.1640625" bestFit="1" customWidth="1"/>
    <col min="13" max="13" width="12.83203125" bestFit="1" customWidth="1"/>
    <col min="14" max="15" width="12.1640625" bestFit="1" customWidth="1"/>
  </cols>
  <sheetData>
    <row r="1" spans="1:15" x14ac:dyDescent="0.2">
      <c r="A1" t="s">
        <v>17</v>
      </c>
      <c r="B1" t="s">
        <v>18</v>
      </c>
      <c r="C1" t="s">
        <v>32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</row>
    <row r="2" spans="1:15" x14ac:dyDescent="0.2">
      <c r="A2">
        <v>1</v>
      </c>
      <c r="B2" t="s">
        <v>31</v>
      </c>
      <c r="C2">
        <v>1.3610708</v>
      </c>
      <c r="D2">
        <v>1.3614989583180099</v>
      </c>
      <c r="E2">
        <v>1.3112023222557201</v>
      </c>
      <c r="F2">
        <v>5.0296636062292503E-2</v>
      </c>
      <c r="G2">
        <v>3.7193780997048602</v>
      </c>
      <c r="H2">
        <v>1.31893650855753E-3</v>
      </c>
      <c r="I2">
        <v>20.379041773396899</v>
      </c>
      <c r="J2">
        <v>7.8165574965221307E-3</v>
      </c>
      <c r="K2">
        <v>1.0433334457695001E-2</v>
      </c>
      <c r="L2" s="7">
        <v>6.1119619352567898E-5</v>
      </c>
      <c r="M2">
        <v>1.6210608877232299E-2</v>
      </c>
      <c r="N2" s="7">
        <v>6.1804078986557305E-5</v>
      </c>
      <c r="O2">
        <v>0.99941041882640902</v>
      </c>
    </row>
    <row r="3" spans="1:15" x14ac:dyDescent="0.2">
      <c r="A3">
        <v>2</v>
      </c>
      <c r="B3" t="s">
        <v>31</v>
      </c>
      <c r="C3">
        <v>1.3808796400000001</v>
      </c>
      <c r="D3">
        <v>1.3814708090811001</v>
      </c>
      <c r="E3">
        <v>1.3112012560076001</v>
      </c>
      <c r="F3">
        <v>7.02695530735018E-2</v>
      </c>
      <c r="G3">
        <v>5.25505984790375</v>
      </c>
      <c r="H3">
        <v>1.2988897872510299E-3</v>
      </c>
      <c r="I3">
        <v>21.315081874540599</v>
      </c>
      <c r="J3">
        <v>5.6421086236859196E-3</v>
      </c>
      <c r="K3">
        <v>1.16159625933359E-2</v>
      </c>
      <c r="L3" s="7">
        <v>6.1923938981111394E-5</v>
      </c>
      <c r="M3">
        <v>1.5367555438560001E-2</v>
      </c>
      <c r="N3" s="7">
        <v>6.2359085700524697E-5</v>
      </c>
      <c r="O3">
        <v>0.999711596211451</v>
      </c>
    </row>
    <row r="4" spans="1:15" x14ac:dyDescent="0.2">
      <c r="A4">
        <v>3</v>
      </c>
      <c r="B4" t="s">
        <v>31</v>
      </c>
      <c r="C4">
        <v>1.4002212000000001</v>
      </c>
      <c r="D4">
        <v>1.4015178895</v>
      </c>
      <c r="E4">
        <v>1.31119095978247</v>
      </c>
      <c r="F4">
        <v>9.0326929717521695E-2</v>
      </c>
      <c r="G4">
        <v>6.8578271016059302</v>
      </c>
      <c r="H4">
        <v>1.74669694444153E-3</v>
      </c>
      <c r="I4">
        <v>22.172531988226702</v>
      </c>
      <c r="J4">
        <v>5.9934200605636602E-3</v>
      </c>
      <c r="K4">
        <v>1.2713534091374001E-2</v>
      </c>
      <c r="L4" s="7">
        <v>8.5332894048347402E-5</v>
      </c>
      <c r="M4">
        <v>1.41947195333148E-2</v>
      </c>
      <c r="N4" s="7">
        <v>8.5621334601838694E-5</v>
      </c>
      <c r="O4">
        <v>0.99969407053744896</v>
      </c>
    </row>
    <row r="5" spans="1:15" x14ac:dyDescent="0.2">
      <c r="A5">
        <v>4</v>
      </c>
      <c r="B5" t="s">
        <v>31</v>
      </c>
      <c r="C5">
        <v>1.4182269999999999</v>
      </c>
      <c r="D5">
        <v>1.4215248591280001</v>
      </c>
      <c r="E5">
        <v>1.31120002277027</v>
      </c>
      <c r="F5">
        <v>0.110324836357722</v>
      </c>
      <c r="G5">
        <v>8.3577970098528898</v>
      </c>
      <c r="H5">
        <v>1.76758219667948E-3</v>
      </c>
      <c r="I5">
        <v>23.076513537006601</v>
      </c>
      <c r="J5">
        <v>5.1307538061273203E-3</v>
      </c>
      <c r="K5">
        <v>1.5053964424884001E-2</v>
      </c>
      <c r="L5" s="7">
        <v>8.8477856274715399E-5</v>
      </c>
      <c r="M5">
        <v>1.28992981658751E-2</v>
      </c>
      <c r="N5" s="7">
        <v>8.8451497258196097E-5</v>
      </c>
      <c r="O5">
        <v>0.99979159913569304</v>
      </c>
    </row>
    <row r="6" spans="1:15" x14ac:dyDescent="0.2">
      <c r="A6">
        <v>5</v>
      </c>
      <c r="B6" t="s">
        <v>31</v>
      </c>
      <c r="C6">
        <v>1.4339553999999999</v>
      </c>
      <c r="D6">
        <v>1.44152737282913</v>
      </c>
      <c r="E6">
        <v>1.3111938242324199</v>
      </c>
      <c r="F6">
        <v>0.13033354859670801</v>
      </c>
      <c r="G6">
        <v>9.65681940435657</v>
      </c>
      <c r="H6">
        <v>2.94868705245439E-3</v>
      </c>
      <c r="I6">
        <v>24.3973785376267</v>
      </c>
      <c r="J6">
        <v>7.7260648155443902E-3</v>
      </c>
      <c r="K6">
        <v>1.3514319032996099E-2</v>
      </c>
      <c r="L6">
        <v>1.52570781287928E-4</v>
      </c>
      <c r="M6">
        <v>1.53942295304011E-2</v>
      </c>
      <c r="N6">
        <v>1.5174841428690399E-4</v>
      </c>
      <c r="O6">
        <v>0.99956880189150299</v>
      </c>
    </row>
    <row r="7" spans="1:15" x14ac:dyDescent="0.2">
      <c r="A7">
        <v>6</v>
      </c>
      <c r="B7" t="s">
        <v>31</v>
      </c>
      <c r="C7">
        <v>1.4469462</v>
      </c>
      <c r="D7">
        <v>1.461532703696</v>
      </c>
      <c r="E7">
        <v>1.3111999546434601</v>
      </c>
      <c r="F7">
        <v>0.15033274905253499</v>
      </c>
      <c r="G7">
        <v>10.661345491252799</v>
      </c>
      <c r="H7">
        <v>2.2763345222669902E-3</v>
      </c>
      <c r="I7">
        <v>25.114953969639998</v>
      </c>
      <c r="J7">
        <v>5.5211105046796896E-3</v>
      </c>
      <c r="K7">
        <v>2.07780470348395E-2</v>
      </c>
      <c r="L7">
        <v>1.1979333163643E-4</v>
      </c>
      <c r="M7">
        <v>9.2298975567503307E-3</v>
      </c>
      <c r="N7">
        <v>1.18831773468802E-4</v>
      </c>
      <c r="O7">
        <v>0.99979502602539805</v>
      </c>
    </row>
    <row r="8" spans="1:15" x14ac:dyDescent="0.2">
      <c r="A8">
        <v>7</v>
      </c>
      <c r="B8" t="s">
        <v>31</v>
      </c>
      <c r="C8">
        <v>1.4576832</v>
      </c>
      <c r="D8">
        <v>1.4815245995119899</v>
      </c>
      <c r="E8">
        <v>1.31119188829582</v>
      </c>
      <c r="F8">
        <v>0.17033271121617</v>
      </c>
      <c r="G8">
        <v>11.309442277391501</v>
      </c>
      <c r="H8">
        <v>3.6305256096701099E-3</v>
      </c>
      <c r="I8">
        <v>26.697471414023699</v>
      </c>
      <c r="J8">
        <v>8.6871618058930802E-3</v>
      </c>
      <c r="K8">
        <v>1.7468506354592701E-2</v>
      </c>
      <c r="L8">
        <v>1.97865997210894E-4</v>
      </c>
      <c r="M8">
        <v>1.24869754738627E-2</v>
      </c>
      <c r="N8">
        <v>1.9518527995034601E-4</v>
      </c>
      <c r="O8">
        <v>0.999541757612607</v>
      </c>
    </row>
    <row r="9" spans="1:15" x14ac:dyDescent="0.2">
      <c r="A9">
        <v>8</v>
      </c>
      <c r="B9" t="s">
        <v>31</v>
      </c>
      <c r="C9">
        <v>1.4665439999999998</v>
      </c>
      <c r="D9">
        <v>1.5015409365879999</v>
      </c>
      <c r="E9">
        <v>1.3111842274752401</v>
      </c>
      <c r="F9">
        <v>0.19035670911275199</v>
      </c>
      <c r="G9">
        <v>11.915532555900899</v>
      </c>
      <c r="H9">
        <v>2.8172526057086101E-3</v>
      </c>
      <c r="I9">
        <v>27.1542455111781</v>
      </c>
      <c r="J9">
        <v>6.4790675101634304E-3</v>
      </c>
      <c r="K9">
        <v>2.59436258145033E-2</v>
      </c>
      <c r="L9">
        <v>1.55017282418158E-4</v>
      </c>
      <c r="M9">
        <v>5.4586909130032099E-3</v>
      </c>
      <c r="N9">
        <v>1.52680911826226E-4</v>
      </c>
      <c r="O9">
        <v>0.99975774147997398</v>
      </c>
    </row>
    <row r="10" spans="1:15" x14ac:dyDescent="0.2">
      <c r="A10">
        <v>9</v>
      </c>
      <c r="B10" t="s">
        <v>31</v>
      </c>
      <c r="C10">
        <v>1.474154</v>
      </c>
      <c r="D10">
        <v>1.52151260603441</v>
      </c>
      <c r="E10">
        <v>1.31119341077207</v>
      </c>
      <c r="F10">
        <v>0.210319195262336</v>
      </c>
      <c r="G10">
        <v>12.1270069192318</v>
      </c>
      <c r="H10">
        <v>3.58581228851376E-3</v>
      </c>
      <c r="I10">
        <v>28.634402466543602</v>
      </c>
      <c r="J10">
        <v>8.4258125870952799E-3</v>
      </c>
      <c r="K10">
        <v>2.5236267885821399E-2</v>
      </c>
      <c r="L10">
        <v>2.0321232973305299E-4</v>
      </c>
      <c r="M10">
        <v>6.52493962326328E-3</v>
      </c>
      <c r="N10">
        <v>1.9918663082060101E-4</v>
      </c>
      <c r="O10">
        <v>0.99962787318921298</v>
      </c>
    </row>
    <row r="11" spans="1:15" x14ac:dyDescent="0.2">
      <c r="A11">
        <v>10</v>
      </c>
      <c r="B11" t="s">
        <v>31</v>
      </c>
      <c r="C11">
        <v>1.480702</v>
      </c>
      <c r="D11">
        <v>1.5415490029799901</v>
      </c>
      <c r="E11">
        <v>1.3111945887863701</v>
      </c>
      <c r="F11">
        <v>0.23035441419362099</v>
      </c>
      <c r="G11">
        <v>12.4229595239141</v>
      </c>
      <c r="H11">
        <v>3.1652177220077701E-3</v>
      </c>
      <c r="I11">
        <v>28.913875239157601</v>
      </c>
      <c r="J11">
        <v>7.31227300376938E-3</v>
      </c>
      <c r="K11">
        <v>3.8421512266405701E-2</v>
      </c>
      <c r="L11">
        <v>1.80335262340905E-4</v>
      </c>
      <c r="M11">
        <v>-2.67362165805823E-3</v>
      </c>
      <c r="N11">
        <v>1.7660724235363899E-4</v>
      </c>
      <c r="O11">
        <v>0.99973278896751405</v>
      </c>
    </row>
    <row r="12" spans="1:15" x14ac:dyDescent="0.2">
      <c r="A12">
        <v>11</v>
      </c>
      <c r="B12" t="s">
        <v>31</v>
      </c>
      <c r="C12">
        <v>1.486542</v>
      </c>
      <c r="D12">
        <v>1.561540127392</v>
      </c>
      <c r="E12">
        <v>1.31119572264326</v>
      </c>
      <c r="F12">
        <v>0.25034440474873498</v>
      </c>
      <c r="G12">
        <v>12.588183086374601</v>
      </c>
      <c r="H12">
        <v>3.4825633427918198E-3</v>
      </c>
      <c r="I12">
        <v>30.240484301064399</v>
      </c>
      <c r="J12">
        <v>8.2049045971525607E-3</v>
      </c>
      <c r="K12">
        <v>3.42078096664684E-2</v>
      </c>
      <c r="L12">
        <v>2.0330741787240899E-4</v>
      </c>
      <c r="M12">
        <v>1.5124253354174999E-3</v>
      </c>
      <c r="N12">
        <v>1.98298757549347E-4</v>
      </c>
      <c r="O12">
        <v>0.99968704255155905</v>
      </c>
    </row>
    <row r="13" spans="1:15" x14ac:dyDescent="0.2">
      <c r="A13">
        <v>12</v>
      </c>
      <c r="B13" t="s">
        <v>31</v>
      </c>
      <c r="C13">
        <v>1.4919099999999998</v>
      </c>
      <c r="D13">
        <v>1.5815224719607801</v>
      </c>
      <c r="E13">
        <v>1.3112059660021</v>
      </c>
      <c r="F13">
        <v>0.27031650595868301</v>
      </c>
      <c r="G13">
        <v>12.740546793553699</v>
      </c>
      <c r="H13">
        <v>3.4446635322119799E-3</v>
      </c>
      <c r="I13">
        <v>30.472300233829898</v>
      </c>
      <c r="J13">
        <v>8.0634202442615398E-3</v>
      </c>
      <c r="K13">
        <v>4.6742365598490501E-2</v>
      </c>
      <c r="L13">
        <v>2.0192191182210101E-4</v>
      </c>
      <c r="M13">
        <v>-7.9252197930992294E-3</v>
      </c>
      <c r="N13">
        <v>1.96811838153473E-4</v>
      </c>
      <c r="O13">
        <v>0.99970994648031397</v>
      </c>
    </row>
    <row r="14" spans="1:15" x14ac:dyDescent="0.2">
      <c r="A14">
        <v>13</v>
      </c>
      <c r="B14" t="s">
        <v>31</v>
      </c>
      <c r="C14">
        <v>1.49657</v>
      </c>
      <c r="D14">
        <v>1.6015160659359999</v>
      </c>
      <c r="E14">
        <v>1.31119357654665</v>
      </c>
      <c r="F14">
        <v>0.29032248938934502</v>
      </c>
      <c r="G14">
        <v>12.7783924472597</v>
      </c>
      <c r="H14">
        <v>3.5600350912563302E-3</v>
      </c>
      <c r="I14">
        <v>31.8607083175492</v>
      </c>
      <c r="J14">
        <v>8.5832705049417504E-3</v>
      </c>
      <c r="K14">
        <v>4.3814866890275E-2</v>
      </c>
      <c r="L14">
        <v>2.1369251261578001E-4</v>
      </c>
      <c r="M14">
        <v>-4.4535945867727996E-3</v>
      </c>
      <c r="N14">
        <v>2.07451965020237E-4</v>
      </c>
      <c r="O14">
        <v>0.99969523710135699</v>
      </c>
    </row>
    <row r="15" spans="1:15" x14ac:dyDescent="0.2">
      <c r="A15">
        <v>14</v>
      </c>
      <c r="B15" t="s">
        <v>31</v>
      </c>
      <c r="C15">
        <v>1.5029699999999999</v>
      </c>
      <c r="D15">
        <v>1.631521409196</v>
      </c>
      <c r="E15">
        <v>1.3111990840529</v>
      </c>
      <c r="F15">
        <v>0.320322325143094</v>
      </c>
      <c r="G15">
        <v>12.7679168731558</v>
      </c>
      <c r="H15">
        <v>3.7069515518630899E-3</v>
      </c>
      <c r="I15">
        <v>33.195188245992803</v>
      </c>
      <c r="J15">
        <v>9.21605403951818E-3</v>
      </c>
      <c r="K15">
        <v>4.9993446275757102E-2</v>
      </c>
      <c r="L15">
        <v>2.27346341162178E-4</v>
      </c>
      <c r="M15">
        <v>-8.1619303979993604E-3</v>
      </c>
      <c r="N15">
        <v>2.19898608981942E-4</v>
      </c>
      <c r="O15">
        <v>0.99967857552431705</v>
      </c>
    </row>
    <row r="16" spans="1:15" x14ac:dyDescent="0.2">
      <c r="A16">
        <v>15</v>
      </c>
      <c r="B16" t="s">
        <v>31</v>
      </c>
      <c r="C16">
        <v>1.5090159999999999</v>
      </c>
      <c r="D16">
        <v>1.6614949705202</v>
      </c>
      <c r="E16">
        <v>1.3111887858420801</v>
      </c>
      <c r="F16">
        <v>0.35030618467812302</v>
      </c>
      <c r="G16">
        <v>12.754190505940899</v>
      </c>
      <c r="H16">
        <v>4.5353873501594102E-3</v>
      </c>
      <c r="I16">
        <v>34.164270649885601</v>
      </c>
      <c r="J16">
        <v>1.1526595258787501E-2</v>
      </c>
      <c r="K16">
        <v>6.28806551539553E-2</v>
      </c>
      <c r="L16">
        <v>2.82326615845864E-4</v>
      </c>
      <c r="M16">
        <v>-1.75922154396752E-2</v>
      </c>
      <c r="N16">
        <v>2.72379110619829E-4</v>
      </c>
      <c r="O16">
        <v>0.99953592710886296</v>
      </c>
    </row>
    <row r="17" spans="1:15" x14ac:dyDescent="0.2">
      <c r="A17">
        <v>16</v>
      </c>
      <c r="B17" t="s">
        <v>31</v>
      </c>
      <c r="C17">
        <v>1.5142359999999999</v>
      </c>
      <c r="D17">
        <v>1.69147108746698</v>
      </c>
      <c r="E17">
        <v>1.3111893432978201</v>
      </c>
      <c r="F17">
        <v>0.380281744169157</v>
      </c>
      <c r="G17">
        <v>12.7869063306595</v>
      </c>
      <c r="H17">
        <v>5.4232111613320899E-3</v>
      </c>
      <c r="I17">
        <v>35.004084205675802</v>
      </c>
      <c r="J17">
        <v>1.3992729648409599E-2</v>
      </c>
      <c r="K17">
        <v>7.2434864992413098E-2</v>
      </c>
      <c r="L17">
        <v>3.41822736103125E-4</v>
      </c>
      <c r="M17">
        <v>-2.3882491647277401E-2</v>
      </c>
      <c r="N17">
        <v>3.2906945958276402E-4</v>
      </c>
      <c r="O17">
        <v>0.99935835809352302</v>
      </c>
    </row>
    <row r="18" spans="1:15" x14ac:dyDescent="0.2">
      <c r="A18">
        <v>17</v>
      </c>
      <c r="B18" t="s">
        <v>31</v>
      </c>
      <c r="C18">
        <v>1.51922</v>
      </c>
      <c r="D18">
        <v>1.7214993943977499</v>
      </c>
      <c r="E18">
        <v>1.31119992767326</v>
      </c>
      <c r="F18">
        <v>0.41029946672449102</v>
      </c>
      <c r="G18">
        <v>12.786930029473501</v>
      </c>
      <c r="H18">
        <v>4.5738088052102799E-3</v>
      </c>
      <c r="I18">
        <v>36.474399354975603</v>
      </c>
      <c r="J18">
        <v>1.2159857488400301E-2</v>
      </c>
      <c r="K18">
        <v>6.6805889486886205E-2</v>
      </c>
      <c r="L18">
        <v>2.9436255709336401E-4</v>
      </c>
      <c r="M18">
        <v>-1.87234251535566E-2</v>
      </c>
      <c r="N18">
        <v>2.8235298739557799E-4</v>
      </c>
      <c r="O18">
        <v>0.99954526773101804</v>
      </c>
    </row>
    <row r="19" spans="1:15" x14ac:dyDescent="0.2">
      <c r="A19">
        <v>18</v>
      </c>
      <c r="B19" t="s">
        <v>31</v>
      </c>
      <c r="C19">
        <v>1.5244399999999998</v>
      </c>
      <c r="D19">
        <v>1.7515204678271299</v>
      </c>
      <c r="E19">
        <v>1.3112068370226999</v>
      </c>
      <c r="F19">
        <v>0.44031363080442798</v>
      </c>
      <c r="G19">
        <v>12.7609379889027</v>
      </c>
      <c r="H19">
        <v>5.8255250527189002E-3</v>
      </c>
      <c r="I19">
        <v>37.363091056264601</v>
      </c>
      <c r="J19">
        <v>1.5793793548243899E-2</v>
      </c>
      <c r="K19">
        <v>8.0242047557929103E-2</v>
      </c>
      <c r="L19">
        <v>3.7947513835423198E-4</v>
      </c>
      <c r="M19">
        <v>-2.7453427946087901E-2</v>
      </c>
      <c r="N19">
        <v>3.6322487287092099E-4</v>
      </c>
      <c r="O19">
        <v>0.99928549931792898</v>
      </c>
    </row>
    <row r="20" spans="1:15" x14ac:dyDescent="0.2">
      <c r="A20">
        <v>19</v>
      </c>
      <c r="B20" t="s">
        <v>31</v>
      </c>
      <c r="C20">
        <v>1.5284800000000001</v>
      </c>
      <c r="D20">
        <v>1.7814981655062001</v>
      </c>
      <c r="E20">
        <v>1.31119507137563</v>
      </c>
      <c r="F20">
        <v>0.47030309413056398</v>
      </c>
      <c r="G20">
        <v>12.689127787475</v>
      </c>
      <c r="H20">
        <v>6.3685028583531202E-3</v>
      </c>
      <c r="I20">
        <v>38.817219735140903</v>
      </c>
      <c r="J20">
        <v>1.7854236691852501E-2</v>
      </c>
      <c r="K20">
        <v>8.6744047488226103E-2</v>
      </c>
      <c r="L20">
        <v>4.2278484403222898E-4</v>
      </c>
      <c r="M20">
        <v>-3.10432508774009E-2</v>
      </c>
      <c r="N20">
        <v>4.0333360981499702E-4</v>
      </c>
      <c r="O20">
        <v>0.99915963525334195</v>
      </c>
    </row>
    <row r="21" spans="1:15" x14ac:dyDescent="0.2">
      <c r="A21">
        <v>20</v>
      </c>
      <c r="B21" t="s">
        <v>31</v>
      </c>
      <c r="C21">
        <v>1.5332279999999998</v>
      </c>
      <c r="D21">
        <v>1.81150232785114</v>
      </c>
      <c r="E21">
        <v>1.3111987531923099</v>
      </c>
      <c r="F21">
        <v>0.50030357465882103</v>
      </c>
      <c r="G21">
        <v>12.631516610494399</v>
      </c>
      <c r="H21">
        <v>5.5386907342697403E-3</v>
      </c>
      <c r="I21">
        <v>40.345935259054897</v>
      </c>
      <c r="J21">
        <v>1.6045953102393901E-2</v>
      </c>
      <c r="K21">
        <v>8.1371908966326997E-2</v>
      </c>
      <c r="L21">
        <v>3.7473094506538802E-4</v>
      </c>
      <c r="M21">
        <v>-2.57967376002914E-2</v>
      </c>
      <c r="N21">
        <v>3.5629617673021399E-4</v>
      </c>
      <c r="O21">
        <v>0.99936100741440204</v>
      </c>
    </row>
    <row r="22" spans="1:15" x14ac:dyDescent="0.2">
      <c r="A22">
        <v>21</v>
      </c>
      <c r="B22" t="s">
        <v>31</v>
      </c>
      <c r="C22">
        <v>1.5371500000000002</v>
      </c>
      <c r="D22">
        <v>1.8415010185274101</v>
      </c>
      <c r="E22">
        <v>1.31118737009951</v>
      </c>
      <c r="F22">
        <v>0.53031364842789996</v>
      </c>
      <c r="G22">
        <v>12.6428432362931</v>
      </c>
      <c r="H22">
        <v>7.5274228618322997E-3</v>
      </c>
      <c r="I22">
        <v>40.579495654494103</v>
      </c>
      <c r="J22">
        <v>2.1880335787899E-2</v>
      </c>
      <c r="K22">
        <v>9.7529283381292395E-2</v>
      </c>
      <c r="L22">
        <v>5.1071703359454798E-4</v>
      </c>
      <c r="M22">
        <v>-3.7169871563724997E-2</v>
      </c>
      <c r="N22">
        <v>4.8535078346400901E-4</v>
      </c>
      <c r="O22">
        <v>0.99886011275585695</v>
      </c>
    </row>
    <row r="23" spans="1:15" x14ac:dyDescent="0.2">
      <c r="A23">
        <v>22</v>
      </c>
      <c r="B23" t="s">
        <v>31</v>
      </c>
      <c r="C23">
        <v>1.5426059999999999</v>
      </c>
      <c r="D23">
        <v>1.87149959219687</v>
      </c>
      <c r="E23">
        <v>1.3111901265891499</v>
      </c>
      <c r="F23">
        <v>0.56030946560771999</v>
      </c>
      <c r="G23">
        <v>12.546535269958399</v>
      </c>
      <c r="H23">
        <v>6.6703247431467603E-3</v>
      </c>
      <c r="I23">
        <v>42.126917891110701</v>
      </c>
      <c r="J23">
        <v>2.00827485060068E-2</v>
      </c>
      <c r="K23">
        <v>8.9851624015504894E-2</v>
      </c>
      <c r="L23">
        <v>4.6083996776014502E-4</v>
      </c>
      <c r="M23">
        <v>-2.9798242093401098E-2</v>
      </c>
      <c r="N23">
        <v>4.3654623027361003E-4</v>
      </c>
      <c r="O23">
        <v>0.99909061851818204</v>
      </c>
    </row>
    <row r="24" spans="1:15" x14ac:dyDescent="0.2">
      <c r="A24">
        <v>23</v>
      </c>
      <c r="B24" t="s">
        <v>31</v>
      </c>
      <c r="C24">
        <v>1.5458199999999997</v>
      </c>
      <c r="D24">
        <v>1.9014887222088801</v>
      </c>
      <c r="E24">
        <v>1.31118897420642</v>
      </c>
      <c r="F24">
        <v>0.59029974800246299</v>
      </c>
      <c r="G24">
        <v>12.512242031189</v>
      </c>
      <c r="H24">
        <v>6.4096102349241197E-3</v>
      </c>
      <c r="I24">
        <v>43.666029715908003</v>
      </c>
      <c r="J24">
        <v>1.9870274859007098E-2</v>
      </c>
      <c r="K24">
        <v>9.2125133180303506E-2</v>
      </c>
      <c r="L24">
        <v>4.5050499084721098E-4</v>
      </c>
      <c r="M24">
        <v>-2.89381188949469E-2</v>
      </c>
      <c r="N24">
        <v>4.2545434816605601E-4</v>
      </c>
      <c r="O24">
        <v>0.99916976161474802</v>
      </c>
    </row>
    <row r="25" spans="1:15" x14ac:dyDescent="0.2">
      <c r="A25">
        <v>24</v>
      </c>
      <c r="B25" t="s">
        <v>31</v>
      </c>
      <c r="C25">
        <v>1.5492699999999999</v>
      </c>
      <c r="D25">
        <v>1.9314766477390899</v>
      </c>
      <c r="E25">
        <v>1.31118839751675</v>
      </c>
      <c r="F25">
        <v>0.62028825022234402</v>
      </c>
      <c r="G25">
        <v>12.5619223738638</v>
      </c>
      <c r="H25">
        <v>7.67941504681243E-3</v>
      </c>
      <c r="I25">
        <v>44.087386923646797</v>
      </c>
      <c r="J25">
        <v>2.3881896783921702E-2</v>
      </c>
      <c r="K25">
        <v>0.10161966770031799</v>
      </c>
      <c r="L25">
        <v>5.42226784071967E-4</v>
      </c>
      <c r="M25">
        <v>-3.5953535369480698E-2</v>
      </c>
      <c r="N25">
        <v>5.1165968122471003E-4</v>
      </c>
      <c r="O25">
        <v>0.99884127251149701</v>
      </c>
    </row>
    <row r="26" spans="1:15" x14ac:dyDescent="0.2">
      <c r="A26">
        <v>25</v>
      </c>
      <c r="B26" t="s">
        <v>31</v>
      </c>
      <c r="C26">
        <v>1.5538999999999998</v>
      </c>
      <c r="D26">
        <v>1.9614832791516601</v>
      </c>
      <c r="E26">
        <v>1.31118784196339</v>
      </c>
      <c r="F26">
        <v>0.65029543718826499</v>
      </c>
      <c r="G26">
        <v>12.436373914397</v>
      </c>
      <c r="H26">
        <v>7.1789270972624298E-3</v>
      </c>
      <c r="I26">
        <v>45.577144310860497</v>
      </c>
      <c r="J26">
        <v>2.3115375982811302E-2</v>
      </c>
      <c r="K26">
        <v>9.8991811341083605E-2</v>
      </c>
      <c r="L26">
        <v>5.1491150162008505E-4</v>
      </c>
      <c r="M26">
        <v>-3.2614280528345002E-2</v>
      </c>
      <c r="N26">
        <v>4.8449901735978402E-4</v>
      </c>
      <c r="O26">
        <v>0.99897461701985502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E_i_data</vt:lpstr>
      <vt:lpstr>OER</vt:lpstr>
      <vt:lpstr>CER1500mM</vt:lpstr>
      <vt:lpstr>CER500mM</vt:lpstr>
      <vt:lpstr>CER1500mM!voltage_step_fits_results_CER_1500mM</vt:lpstr>
      <vt:lpstr>CER500mM!voltage_step_fits_results_CER_500mM</vt:lpstr>
      <vt:lpstr>OER!voltage_step_fits_results_OER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Detre Teschner</dc:creator>
  <cp:lastModifiedBy>Peeketi, Akhil Reddy</cp:lastModifiedBy>
  <dcterms:created xsi:type="dcterms:W3CDTF">2025-12-25T16:56:32Z</dcterms:created>
  <dcterms:modified xsi:type="dcterms:W3CDTF">2025-12-27T23:13:28Z</dcterms:modified>
</cp:coreProperties>
</file>